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rp_group/Desktop/bts2/data/"/>
    </mc:Choice>
  </mc:AlternateContent>
  <xr:revisionPtr revIDLastSave="0" documentId="13_ncr:1_{C626F055-7B1C-FC41-ABF8-267DF9D57C87}" xr6:coauthVersionLast="47" xr6:coauthVersionMax="47" xr10:uidLastSave="{00000000-0000-0000-0000-000000000000}"/>
  <bookViews>
    <workbookView xWindow="42780" yWindow="2340" windowWidth="43260" windowHeight="23380" activeTab="1" xr2:uid="{00000000-000D-0000-FFFF-FFFF00000000}"/>
  </bookViews>
  <sheets>
    <sheet name="24种材料特征矩阵" sheetId="1" r:id="rId1"/>
    <sheet name="描述符说明与来源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" i="1" l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<sst xmlns="http://schemas.openxmlformats.org/spreadsheetml/2006/main" count="162" uniqueCount="154">
  <si>
    <t>Material</t>
  </si>
  <si>
    <t>核心2 Li平均Bader电荷, qLi (e)</t>
  </si>
  <si>
    <t>核心3 Li平均配位数, CN_Li</t>
  </si>
  <si>
    <t>核心4 归一化Li–X距离, d_norm</t>
  </si>
  <si>
    <t>核心5 每Li对应体积, V/N_Li (Å³/Li)</t>
  </si>
  <si>
    <t>核心6 Li–骨架电负性差, Δχ</t>
  </si>
  <si>
    <t>候选2 Li atomic fraction, x_Li</t>
  </si>
  <si>
    <t>候选3 Density, ρ (g/cm³)</t>
  </si>
  <si>
    <t>候选4 Volume / atom, V/N_atom (Å³/atom)</t>
  </si>
  <si>
    <t>候选5 平均Li–X键长, d̄_Li-X (Å)</t>
  </si>
  <si>
    <t>候选7 Li–X键长范围, Δd (Å)</t>
  </si>
  <si>
    <t>候选8 Li配位数标准差, σ_CN</t>
  </si>
  <si>
    <t>候选9 平均框架电负性, χ̄_framework</t>
  </si>
  <si>
    <t>候选10 平均框架原子半径, r̄_framework</t>
  </si>
  <si>
    <t>候选11 平均原子序数, Z̄</t>
  </si>
  <si>
    <t>候选12 平均原子质量, M̄ (g/mol-atom)</t>
  </si>
  <si>
    <t>Li5FeO4</t>
  </si>
  <si>
    <t>Li6CoO4</t>
  </si>
  <si>
    <t>Li2NiO2</t>
  </si>
  <si>
    <t>Li2CuO2</t>
  </si>
  <si>
    <t>Li4SiO4</t>
  </si>
  <si>
    <t>Li6MnO4</t>
  </si>
  <si>
    <t>Li6ZnO4</t>
  </si>
  <si>
    <t>Li5AlO4</t>
  </si>
  <si>
    <t>Li2MoO3</t>
  </si>
  <si>
    <t>Li8ZrO6</t>
  </si>
  <si>
    <t>Li3BO3</t>
  </si>
  <si>
    <t>LiNO3</t>
  </si>
  <si>
    <t>Li2O2</t>
  </si>
  <si>
    <t>Li2O</t>
  </si>
  <si>
    <t>Li2S</t>
  </si>
  <si>
    <t>Li3N</t>
  </si>
  <si>
    <t>Li3P</t>
  </si>
  <si>
    <t>Li2Se</t>
  </si>
  <si>
    <t>LiF</t>
  </si>
  <si>
    <t>LiC6</t>
  </si>
  <si>
    <t>Li2CO3</t>
  </si>
  <si>
    <t>字段</t>
  </si>
  <si>
    <t>层级</t>
  </si>
  <si>
    <t>来源/计算方式</t>
  </si>
  <si>
    <t>定义/备注</t>
  </si>
  <si>
    <t>核心1</t>
  </si>
  <si>
    <t>DFT / Materials Project</t>
  </si>
  <si>
    <t>母相形成能，统一为 eV/atom</t>
  </si>
  <si>
    <t>Li平均Bader电荷, qLi</t>
  </si>
  <si>
    <t>核心2</t>
  </si>
  <si>
    <t>DFT电荷密度 + Bader</t>
  </si>
  <si>
    <t>所有Li位点Bader电荷平均值</t>
  </si>
  <si>
    <t>Li平均配位数, CN_Li</t>
  </si>
  <si>
    <t>核心3</t>
  </si>
  <si>
    <t>CIF结构分析</t>
  </si>
  <si>
    <t>对所有Li位点的最近邻配位数取平均</t>
  </si>
  <si>
    <t>归一化Li–X距离, d_norm</t>
  </si>
  <si>
    <t>核心4</t>
  </si>
  <si>
    <t>CIF + 原子/离子半径表</t>
  </si>
  <si>
    <t>d_Li-X /(r_Li+r_X)；X为Li最近邻骨架元素</t>
  </si>
  <si>
    <t>每Li对应体积, V/N_Li</t>
  </si>
  <si>
    <t>核心5</t>
  </si>
  <si>
    <t>CIF派生</t>
  </si>
  <si>
    <t>晶胞体积除以晶胞内Li原子数</t>
  </si>
  <si>
    <t>Li–骨架电负性差, Δχ</t>
  </si>
  <si>
    <t>核心6</t>
  </si>
  <si>
    <t>化学式/CIF + 电负性表</t>
  </si>
  <si>
    <t>χ_framework − χ_Li；framework为非Li骨架加权平均</t>
  </si>
  <si>
    <t>Band gap, Eg</t>
  </si>
  <si>
    <t>核心7</t>
  </si>
  <si>
    <t>统一DFT设置或同一MP数据版本</t>
  </si>
  <si>
    <t>Energy above hull, E_hull</t>
  </si>
  <si>
    <t>候选1</t>
  </si>
  <si>
    <t>DFT数据库 + 相图后处理 / MP</t>
  </si>
  <si>
    <t>相对竞争相的亚稳程度</t>
  </si>
  <si>
    <t>Li atomic fraction, x_Li</t>
  </si>
  <si>
    <t>候选2</t>
  </si>
  <si>
    <t>化学式/CIF</t>
  </si>
  <si>
    <t>N_Li / N_total</t>
  </si>
  <si>
    <t>Density, ρ</t>
  </si>
  <si>
    <t>候选3</t>
  </si>
  <si>
    <t>CIF派生 / MP</t>
  </si>
  <si>
    <t>晶体密度</t>
  </si>
  <si>
    <t>Volume / atom, V/N_atom</t>
  </si>
  <si>
    <t>候选4</t>
  </si>
  <si>
    <t>晶胞体积 / 总原子数</t>
  </si>
  <si>
    <t>平均Li–X键长, d̄_Li-X</t>
  </si>
  <si>
    <t>候选5</t>
  </si>
  <si>
    <t>所有Li最近邻Li–X距离平均值</t>
  </si>
  <si>
    <t>Li–X键长标准差, σ_d</t>
  </si>
  <si>
    <t>候选6</t>
  </si>
  <si>
    <t>Li–X最近邻距离的标准差</t>
  </si>
  <si>
    <t>Li–X键长范围, Δd</t>
  </si>
  <si>
    <t>候选7</t>
  </si>
  <si>
    <t>d_max − d_min</t>
  </si>
  <si>
    <t>Li配位数标准差, σ_CN</t>
  </si>
  <si>
    <t>候选8</t>
  </si>
  <si>
    <t>不同Li位点配位数的标准差</t>
  </si>
  <si>
    <t>平均框架电负性, χ̄_framework</t>
  </si>
  <si>
    <t>候选9</t>
  </si>
  <si>
    <t>化学式 + 电负性表</t>
  </si>
  <si>
    <t>非Li骨架元素按原子分数加权平均</t>
  </si>
  <si>
    <t>平均框架原子半径, r̄_framework</t>
  </si>
  <si>
    <t>候选10</t>
  </si>
  <si>
    <t>化学式 + 元素半径表</t>
  </si>
  <si>
    <t>平均原子序数, Z̄</t>
  </si>
  <si>
    <t>候选11</t>
  </si>
  <si>
    <t>化学式 + 周期表</t>
  </si>
  <si>
    <t>全部元素按原子分数加权平均</t>
  </si>
  <si>
    <t>平均原子质量, M̄</t>
  </si>
  <si>
    <t>候选12</t>
  </si>
  <si>
    <t>化学式 + 原子质量表</t>
  </si>
  <si>
    <t>第一Li最低脱出能, E_Li-ext^min</t>
  </si>
  <si>
    <t>Y</t>
  </si>
  <si>
    <t>DFT：母相+去Li结构总能</t>
  </si>
  <si>
    <t>取所有不等价Li位点中最低的第一Li脱出能；唯一预测目标</t>
  </si>
  <si>
    <t>来源</t>
    <phoneticPr fontId="5" type="noConversion"/>
  </si>
  <si>
    <t>https://next-gen.materialsproject.org/materials/mp-19308</t>
  </si>
  <si>
    <t>https://next-gen.materialsproject.org/materials/mp-11737</t>
  </si>
  <si>
    <t>https://next-gen.materialsproject.org/materials/mp-841</t>
    <phoneticPr fontId="5" type="noConversion"/>
  </si>
  <si>
    <t>https://next-gen.materialsproject.org/materials/mp-1960</t>
    <phoneticPr fontId="5" type="noConversion"/>
  </si>
  <si>
    <t>https://next-gen.materialsproject.org/materials/mp-736</t>
    <phoneticPr fontId="5" type="noConversion"/>
  </si>
  <si>
    <t>https://next-gen.materialsproject.org/materials/mp-2286</t>
    <phoneticPr fontId="5" type="noConversion"/>
  </si>
  <si>
    <t>https://next-gen.materialsproject.org/materials/mp-1138</t>
    <phoneticPr fontId="5" type="noConversion"/>
  </si>
  <si>
    <t>https://next-gen.materialsproject.org/materials/mp-19511</t>
    <phoneticPr fontId="5" type="noConversion"/>
  </si>
  <si>
    <t>https://next-gen.materialsproject.org/materials/mp-3054</t>
    <phoneticPr fontId="5" type="noConversion"/>
  </si>
  <si>
    <t>https://next-gen.materialsproject.org/materials/mp-4711</t>
    <phoneticPr fontId="5" type="noConversion"/>
  </si>
  <si>
    <t>https://next-gen.materialsproject.org/materials/mp-770533</t>
    <phoneticPr fontId="5" type="noConversion"/>
  </si>
  <si>
    <t>https://next-gen.materialsproject.org/materials/mp-14495</t>
    <phoneticPr fontId="5" type="noConversion"/>
  </si>
  <si>
    <t>https://next-gen.materialsproject.org/materials/mp-15960</t>
    <phoneticPr fontId="5" type="noConversion"/>
  </si>
  <si>
    <t>https://next-gen.materialsproject.org/materials/mp-694855</t>
    <phoneticPr fontId="5" type="noConversion"/>
  </si>
  <si>
    <t>https://next-gen.materialsproject.org/materials/mp-755225</t>
    <phoneticPr fontId="5" type="noConversion"/>
  </si>
  <si>
    <t>https://next-gen.materialsproject.org/materials/mp-18925</t>
    <phoneticPr fontId="5" type="noConversion"/>
  </si>
  <si>
    <t>https://next-gen.materialsproject.org/materials/mp-27275</t>
    <phoneticPr fontId="5" type="noConversion"/>
  </si>
  <si>
    <t>https://next-gen.materialsproject.org/materials/mp-8180</t>
    <phoneticPr fontId="5" type="noConversion"/>
  </si>
  <si>
    <t>https://next-gen.materialsproject.org/materials/mp-1153</t>
    <phoneticPr fontId="5" type="noConversion"/>
  </si>
  <si>
    <t>https://next-gen.materialsproject.org/materials/mp-2251</t>
    <phoneticPr fontId="5" type="noConversion"/>
  </si>
  <si>
    <t>https://next-gen.materialsproject.org/materials/mp-1001581</t>
    <phoneticPr fontId="5" type="noConversion"/>
  </si>
  <si>
    <t>https://next-gen.materialsproject.org/materials/mp-1378</t>
    <phoneticPr fontId="5" type="noConversion"/>
  </si>
  <si>
    <t>https://next-gen.materialsproject.org/materials/mp-1190287</t>
    <phoneticPr fontId="5" type="noConversion"/>
  </si>
  <si>
    <t>https://next-gen.materialsproject.org/materials/mp-546920</t>
    <phoneticPr fontId="5" type="noConversion"/>
  </si>
  <si>
    <t>核心1 Formation energy / atom, Ef (eV/atom)</t>
    <phoneticPr fontId="5" type="noConversion"/>
  </si>
  <si>
    <t>核心7 Band gap, Eg (eV)</t>
    <phoneticPr fontId="5" type="noConversion"/>
  </si>
  <si>
    <t>候选1 Energy above hull, E_hull (eV/atom)</t>
    <phoneticPr fontId="5" type="noConversion"/>
  </si>
  <si>
    <t>Li2C2</t>
    <phoneticPr fontId="5" type="noConversion"/>
  </si>
  <si>
    <t>Li2C2O4</t>
    <phoneticPr fontId="5" type="noConversion"/>
  </si>
  <si>
    <t>Li2C4O4</t>
    <phoneticPr fontId="5" type="noConversion"/>
  </si>
  <si>
    <t>Y 最低中性Li空位形成能 E_f(V_Li^0) (eV)</t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</si>
  <si>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>6 Li</t>
    </r>
    <r>
      <rPr>
        <b/>
        <sz val="10"/>
        <color rgb="FFFFFFFF"/>
        <rFont val="Carlito"/>
        <family val="2"/>
        <charset val="134"/>
      </rPr>
      <t>–</t>
    </r>
    <r>
      <rPr>
        <b/>
        <sz val="10"/>
        <color rgb="FFFFFFFF"/>
        <rFont val="Arial"/>
        <family val="2"/>
      </rPr>
      <t>X</t>
    </r>
    <r>
      <rPr>
        <b/>
        <sz val="10"/>
        <color rgb="FFFFFFFF"/>
        <rFont val="微软雅黑"/>
        <family val="2"/>
        <charset val="134"/>
      </rPr>
      <t>键长标准差</t>
    </r>
    <r>
      <rPr>
        <b/>
        <sz val="10"/>
        <color rgb="FFFFFFFF"/>
        <rFont val="Arial"/>
        <family val="2"/>
      </rPr>
      <t>, σ_d (Å)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</si>
  <si>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>13 Bulk</t>
    </r>
    <r>
      <rPr>
        <b/>
        <sz val="10"/>
        <color rgb="FFFFFFFF"/>
        <rFont val="微软雅黑"/>
        <family val="2"/>
        <charset val="134"/>
      </rPr>
      <t>平均</t>
    </r>
    <r>
      <rPr>
        <b/>
        <sz val="10"/>
        <color rgb="FFFFFFFF"/>
        <rFont val="Arial"/>
        <family val="2"/>
      </rPr>
      <t>ELF (3D)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</si>
  <si>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>14 ELF</t>
    </r>
    <r>
      <rPr>
        <b/>
        <sz val="10"/>
        <color rgb="FFFFFFFF"/>
        <rFont val="Carlito"/>
        <family val="2"/>
        <charset val="134"/>
      </rPr>
      <t>≥</t>
    </r>
    <r>
      <rPr>
        <b/>
        <sz val="10"/>
        <color rgb="FFFFFFFF"/>
        <rFont val="Arial"/>
        <family val="2"/>
      </rPr>
      <t>0.8</t>
    </r>
    <r>
      <rPr>
        <b/>
        <sz val="10"/>
        <color rgb="FFFFFFFF"/>
        <rFont val="微软雅黑"/>
        <family val="2"/>
        <charset val="134"/>
      </rPr>
      <t>体积分数</t>
    </r>
    <r>
      <rPr>
        <b/>
        <sz val="10"/>
        <color rgb="FFFFFFFF"/>
        <rFont val="Arial"/>
        <family val="2"/>
      </rPr>
      <t xml:space="preserve"> (%)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</si>
  <si>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>15 ELF</t>
    </r>
    <r>
      <rPr>
        <b/>
        <sz val="10"/>
        <color rgb="FFFFFFFF"/>
        <rFont val="Carlito"/>
        <family val="2"/>
        <charset val="134"/>
      </rPr>
      <t>≤0.2</t>
    </r>
    <r>
      <rPr>
        <b/>
        <sz val="10"/>
        <color rgb="FFFFFFFF"/>
        <rFont val="微软雅黑"/>
        <family val="2"/>
        <charset val="134"/>
      </rPr>
      <t>体积分数</t>
    </r>
    <r>
      <rPr>
        <b/>
        <sz val="10"/>
        <color rgb="FFFFFFFF"/>
        <rFont val="Arial"/>
        <family val="2"/>
      </rPr>
      <t xml:space="preserve"> (%)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</si>
  <si>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 xml:space="preserve">16 </t>
    </r>
    <r>
      <rPr>
        <b/>
        <sz val="10"/>
        <color rgb="FFFFFFFF"/>
        <rFont val="微软雅黑"/>
        <family val="2"/>
        <charset val="134"/>
      </rPr>
      <t>骨架电负性标准差</t>
    </r>
    <r>
      <rPr>
        <b/>
        <sz val="10"/>
        <color rgb="FFFFFFFF"/>
        <rFont val="Arial"/>
        <family val="2"/>
      </rPr>
      <t xml:space="preserve"> σ_χ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</si>
  <si>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 xml:space="preserve">17 </t>
    </r>
    <r>
      <rPr>
        <b/>
        <sz val="10"/>
        <color rgb="FFFFFFFF"/>
        <rFont val="微软雅黑"/>
        <family val="2"/>
        <charset val="134"/>
      </rPr>
      <t>框架含氧原子分数</t>
    </r>
    <r>
      <rPr>
        <b/>
        <sz val="10"/>
        <color rgb="FFFFFFFF"/>
        <rFont val="Arial"/>
        <family val="2"/>
      </rPr>
      <t xml:space="preserve"> xO_fw</t>
    </r>
    <phoneticPr fontId="5" type="noConversion"/>
  </si>
  <si>
    <t>候选18 空位浓度</t>
    <phoneticPr fontId="5" type="noConversion"/>
  </si>
  <si>
    <t>候选19 Li_mean_charge_loss</t>
    <phoneticPr fontId="5" type="noConversion"/>
  </si>
  <si>
    <t>候选20 vacancy_concentration_percent</t>
    <phoneticPr fontId="5" type="noConversion"/>
  </si>
  <si>
    <t>Formation energy / atom, Ef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</si>
</sst>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11">
    <font>
      <sz val="11"/>
      <name val="Carlito"/>
    </font>
    <font>
      <b/>
      <sz val="10"/>
      <color rgb="FFFFFFFF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  <font>
      <u/>
      <sz val="11"/>
      <color theme="10"/>
      <name val="Carlito"/>
    </font>
    <font>
      <b/>
      <sz val="10"/>
      <color rgb="FFFFFFFF"/>
      <name val="微软雅黑"/>
      <family val="2"/>
      <charset val="134"/>
    </font>
    <font>
      <b/>
      <sz val="10"/>
      <color rgb="FFFFFFFF"/>
      <name val="Arial"/>
      <family val="2"/>
    </font>
    <font>
      <b/>
      <sz val="10"/>
      <color rgb="FFFFFFFF"/>
      <name val="Carlito"/>
      <family val="2"/>
      <charset val="134"/>
    </font>
    <font>
      <b/>
      <sz val="10"/>
      <color rgb="FFFFFFFF"/>
      <name val="Microsoft YaHei Light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A692B"/>
      </patternFill>
    </fill>
    <fill>
      <patternFill patternType="solid">
        <fgColor rgb="FFE4F4EE"/>
      </patternFill>
    </fill>
    <fill>
      <patternFill patternType="solid">
        <fgColor rgb="FF237A71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176" fontId="0" fillId="0" borderId="0" xfId="1" applyNumberFormat="1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2" fillId="4" borderId="0" xfId="1" applyFont="1" applyFill="1" applyAlignment="1">
      <alignment wrapText="1"/>
    </xf>
    <xf numFmtId="0" fontId="6" fillId="3" borderId="0" xfId="2" applyFill="1" applyAlignment="1">
      <alignment horizontal="center" vertical="center" wrapText="1"/>
    </xf>
    <xf numFmtId="176" fontId="0" fillId="6" borderId="0" xfId="0" applyNumberForma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77" fontId="0" fillId="8" borderId="0" xfId="0" applyNumberFormat="1" applyFill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176" fontId="0" fillId="8" borderId="0" xfId="0" applyNumberFormat="1" applyFill="1" applyAlignment="1">
      <alignment horizontal="center" vertical="center" wrapText="1"/>
    </xf>
    <xf numFmtId="2" fontId="0" fillId="8" borderId="0" xfId="0" applyNumberFormat="1" applyFill="1" applyAlignment="1">
      <alignment horizontal="center"/>
    </xf>
    <xf numFmtId="0" fontId="9" fillId="9" borderId="0" xfId="0" applyFont="1" applyFill="1" applyAlignment="1">
      <alignment horizontal="center" vertical="center" wrapText="1"/>
    </xf>
    <xf numFmtId="176" fontId="0" fillId="8" borderId="0" xfId="0" applyNumberFormat="1" applyFill="1" applyAlignment="1">
      <alignment horizontal="center"/>
    </xf>
    <xf numFmtId="176" fontId="0" fillId="10" borderId="0" xfId="1" applyNumberFormat="1" applyFon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10" fillId="9" borderId="0" xfId="0" applyFont="1" applyFill="1" applyAlignment="1">
      <alignment horizontal="center" vertical="center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&#25968;&#25454;/&#33609;&#37240;&#38146;/XFP&#22810;&#23380;&#28845;/ML/24&#31181;&#34917;&#38146;&#26448;&#26009;_ML&#29305;&#24449;&#30697;&#38453;_DFT&#25253;&#21578;&#34917;&#20840;&#22686;&#24378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种材料特征矩阵"/>
      <sheetName val="描述符说明与来源"/>
      <sheetName val="组成与元素参数"/>
      <sheetName val="46个Li空位位点"/>
      <sheetName val="缺陷计算与数据质控"/>
      <sheetName val="ML输入_母相特征"/>
      <sheetName val="来源方法与建模警示"/>
      <sheetName val="24样本探索性相关"/>
    </sheetNames>
    <sheetDataSet>
      <sheetData sheetId="0"/>
      <sheetData sheetId="1"/>
      <sheetData sheetId="2">
        <row r="2">
          <cell r="W2">
            <v>0.64399999999999968</v>
          </cell>
        </row>
        <row r="3">
          <cell r="W3">
            <v>0.62399999999999745</v>
          </cell>
        </row>
        <row r="4">
          <cell r="W4">
            <v>0.72124891681027914</v>
          </cell>
        </row>
        <row r="5">
          <cell r="W5">
            <v>0.72596296201818955</v>
          </cell>
        </row>
        <row r="6">
          <cell r="W6">
            <v>0.61599999999999944</v>
          </cell>
        </row>
        <row r="7">
          <cell r="W7">
            <v>0.75599999999999767</v>
          </cell>
        </row>
        <row r="8">
          <cell r="W8">
            <v>0.71599999999999986</v>
          </cell>
        </row>
        <row r="9">
          <cell r="W9">
            <v>0.73199999999999987</v>
          </cell>
        </row>
        <row r="10">
          <cell r="W10">
            <v>0.55425625842203907</v>
          </cell>
        </row>
        <row r="11">
          <cell r="W11">
            <v>0.73834619389607203</v>
          </cell>
        </row>
        <row r="12">
          <cell r="W12">
            <v>0.60621778264910686</v>
          </cell>
        </row>
        <row r="13">
          <cell r="W13">
            <v>0.17320508075688587</v>
          </cell>
        </row>
        <row r="14">
          <cell r="W14">
            <v>0</v>
          </cell>
        </row>
        <row r="15">
          <cell r="W15">
            <v>0</v>
          </cell>
        </row>
        <row r="16">
          <cell r="W16">
            <v>0</v>
          </cell>
        </row>
        <row r="17">
          <cell r="W17">
            <v>0</v>
          </cell>
        </row>
        <row r="18">
          <cell r="W18">
            <v>0</v>
          </cell>
        </row>
        <row r="19">
          <cell r="W19">
            <v>0</v>
          </cell>
        </row>
        <row r="20">
          <cell r="W20">
            <v>0</v>
          </cell>
        </row>
        <row r="21">
          <cell r="W21">
            <v>2.9802322387695312E-8</v>
          </cell>
        </row>
        <row r="22">
          <cell r="W22">
            <v>0</v>
          </cell>
        </row>
        <row r="23">
          <cell r="W23">
            <v>0.38538130468407178</v>
          </cell>
        </row>
        <row r="24">
          <cell r="W24">
            <v>0.41955002350402065</v>
          </cell>
        </row>
        <row r="25">
          <cell r="W25">
            <v>0.4449999999999974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xt-gen.materialsproject.org/materials/mp-2286" TargetMode="External"/><Relationship Id="rId13" Type="http://schemas.openxmlformats.org/officeDocument/2006/relationships/hyperlink" Target="https://next-gen.materialsproject.org/materials/mp-14495" TargetMode="External"/><Relationship Id="rId18" Type="http://schemas.openxmlformats.org/officeDocument/2006/relationships/hyperlink" Target="https://next-gen.materialsproject.org/materials/mp-8180" TargetMode="External"/><Relationship Id="rId3" Type="http://schemas.openxmlformats.org/officeDocument/2006/relationships/hyperlink" Target="https://next-gen.materialsproject.org/materials/mp-4711" TargetMode="External"/><Relationship Id="rId21" Type="http://schemas.openxmlformats.org/officeDocument/2006/relationships/hyperlink" Target="https://next-gen.materialsproject.org/materials/mp-1001581" TargetMode="External"/><Relationship Id="rId7" Type="http://schemas.openxmlformats.org/officeDocument/2006/relationships/hyperlink" Target="https://next-gen.materialsproject.org/materials/mp-736" TargetMode="External"/><Relationship Id="rId12" Type="http://schemas.openxmlformats.org/officeDocument/2006/relationships/hyperlink" Target="https://next-gen.materialsproject.org/materials/mp-770533" TargetMode="External"/><Relationship Id="rId17" Type="http://schemas.openxmlformats.org/officeDocument/2006/relationships/hyperlink" Target="https://next-gen.materialsproject.org/materials/mp-27275" TargetMode="External"/><Relationship Id="rId2" Type="http://schemas.openxmlformats.org/officeDocument/2006/relationships/hyperlink" Target="https://next-gen.materialsproject.org/materials/mp-19308" TargetMode="External"/><Relationship Id="rId16" Type="http://schemas.openxmlformats.org/officeDocument/2006/relationships/hyperlink" Target="https://next-gen.materialsproject.org/materials/mp-755225" TargetMode="External"/><Relationship Id="rId20" Type="http://schemas.openxmlformats.org/officeDocument/2006/relationships/hyperlink" Target="https://next-gen.materialsproject.org/materials/mp-2251" TargetMode="External"/><Relationship Id="rId1" Type="http://schemas.openxmlformats.org/officeDocument/2006/relationships/hyperlink" Target="https://next-gen.materialsproject.org/materials/mp-18925" TargetMode="External"/><Relationship Id="rId6" Type="http://schemas.openxmlformats.org/officeDocument/2006/relationships/hyperlink" Target="https://next-gen.materialsproject.org/materials/mp-1960" TargetMode="External"/><Relationship Id="rId11" Type="http://schemas.openxmlformats.org/officeDocument/2006/relationships/hyperlink" Target="https://next-gen.materialsproject.org/materials/mp-3054" TargetMode="External"/><Relationship Id="rId24" Type="http://schemas.openxmlformats.org/officeDocument/2006/relationships/hyperlink" Target="https://next-gen.materialsproject.org/materials/mp-546920" TargetMode="External"/><Relationship Id="rId5" Type="http://schemas.openxmlformats.org/officeDocument/2006/relationships/hyperlink" Target="https://next-gen.materialsproject.org/materials/mp-841" TargetMode="External"/><Relationship Id="rId15" Type="http://schemas.openxmlformats.org/officeDocument/2006/relationships/hyperlink" Target="https://next-gen.materialsproject.org/materials/mp-694855" TargetMode="External"/><Relationship Id="rId23" Type="http://schemas.openxmlformats.org/officeDocument/2006/relationships/hyperlink" Target="https://next-gen.materialsproject.org/materials/mp-1190287" TargetMode="External"/><Relationship Id="rId10" Type="http://schemas.openxmlformats.org/officeDocument/2006/relationships/hyperlink" Target="https://next-gen.materialsproject.org/materials/mp-19511" TargetMode="External"/><Relationship Id="rId19" Type="http://schemas.openxmlformats.org/officeDocument/2006/relationships/hyperlink" Target="https://next-gen.materialsproject.org/materials/mp-1153" TargetMode="External"/><Relationship Id="rId4" Type="http://schemas.openxmlformats.org/officeDocument/2006/relationships/hyperlink" Target="https://next-gen.materialsproject.org/materials/mp-11737" TargetMode="External"/><Relationship Id="rId9" Type="http://schemas.openxmlformats.org/officeDocument/2006/relationships/hyperlink" Target="https://next-gen.materialsproject.org/materials/mp-1138" TargetMode="External"/><Relationship Id="rId14" Type="http://schemas.openxmlformats.org/officeDocument/2006/relationships/hyperlink" Target="https://next-gen.materialsproject.org/materials/mp-15960" TargetMode="External"/><Relationship Id="rId22" Type="http://schemas.openxmlformats.org/officeDocument/2006/relationships/hyperlink" Target="https://next-gen.materialsproject.org/materials/mp-137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"/>
  <sheetViews>
    <sheetView zoomScale="178" zoomScaleNormal="178" workbookViewId="0">
      <selection activeCell="C4" sqref="C4"/>
    </sheetView>
  </sheetViews>
  <sheetFormatPr baseColWidth="10" defaultColWidth="8.83203125" defaultRowHeight="14"/>
  <cols>
    <col min="1" max="1" width="14" customWidth="1"/>
    <col min="2" max="2" width="60.33203125" customWidth="1"/>
    <col min="3" max="3" width="25" style="3" customWidth="1"/>
    <col min="4" max="5" width="20" customWidth="1"/>
    <col min="6" max="7" width="22" customWidth="1"/>
    <col min="8" max="8" width="23" customWidth="1"/>
    <col min="9" max="9" width="20" style="3" customWidth="1"/>
    <col min="10" max="10" width="24" style="3" customWidth="1"/>
    <col min="11" max="12" width="20" customWidth="1"/>
    <col min="13" max="13" width="22" customWidth="1"/>
    <col min="14" max="17" width="20" customWidth="1"/>
    <col min="18" max="19" width="23" customWidth="1"/>
    <col min="20" max="20" width="20" customWidth="1"/>
    <col min="21" max="21" width="24" customWidth="1"/>
    <col min="22" max="29" width="31.5" customWidth="1"/>
    <col min="30" max="30" width="39.33203125" customWidth="1"/>
  </cols>
  <sheetData>
    <row r="1" spans="1:30" ht="54" customHeight="1">
      <c r="A1" s="1" t="s">
        <v>0</v>
      </c>
      <c r="B1" s="1" t="s">
        <v>112</v>
      </c>
      <c r="C1" s="1" t="s">
        <v>137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138</v>
      </c>
      <c r="J1" s="1" t="s">
        <v>139</v>
      </c>
      <c r="K1" s="1" t="s">
        <v>6</v>
      </c>
      <c r="L1" s="1" t="s">
        <v>7</v>
      </c>
      <c r="M1" s="1" t="s">
        <v>8</v>
      </c>
      <c r="N1" s="1" t="s">
        <v>9</v>
      </c>
      <c r="O1" s="13" t="s">
        <v>144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6" t="s">
        <v>145</v>
      </c>
      <c r="W1" s="16" t="s">
        <v>146</v>
      </c>
      <c r="X1" s="16" t="s">
        <v>147</v>
      </c>
      <c r="Y1" s="16" t="s">
        <v>148</v>
      </c>
      <c r="Z1" s="16" t="s">
        <v>149</v>
      </c>
      <c r="AA1" s="20" t="s">
        <v>150</v>
      </c>
      <c r="AB1" s="20" t="s">
        <v>151</v>
      </c>
      <c r="AC1" s="20" t="s">
        <v>152</v>
      </c>
      <c r="AD1" s="11" t="s">
        <v>143</v>
      </c>
    </row>
    <row r="2" spans="1:30" ht="16">
      <c r="A2" s="2" t="s">
        <v>16</v>
      </c>
      <c r="B2" s="9" t="s">
        <v>120</v>
      </c>
      <c r="C2" s="3">
        <v>-2.0419999999999998</v>
      </c>
      <c r="D2" s="12">
        <v>0.65161000000000002</v>
      </c>
      <c r="E2" s="10">
        <v>4</v>
      </c>
      <c r="F2" s="10">
        <v>1.017728148256245</v>
      </c>
      <c r="G2" s="10">
        <v>18.799714960023401</v>
      </c>
      <c r="H2" s="10">
        <v>2.1379999999999999</v>
      </c>
      <c r="I2" s="3">
        <v>3.05</v>
      </c>
      <c r="J2" s="3">
        <v>0</v>
      </c>
      <c r="K2" s="10">
        <v>0.5</v>
      </c>
      <c r="L2" s="10">
        <v>2.7300559452715665</v>
      </c>
      <c r="M2" s="10">
        <v>9.3998574800117005</v>
      </c>
      <c r="N2" s="10">
        <v>1.9743926076171157</v>
      </c>
      <c r="O2" s="10">
        <v>4.939694650645611E-2</v>
      </c>
      <c r="P2" s="10">
        <v>0.20473361546221258</v>
      </c>
      <c r="Q2" s="10">
        <v>0</v>
      </c>
      <c r="R2" s="10">
        <v>3.1179999999999999</v>
      </c>
      <c r="S2" s="10">
        <v>0.79200000000000004</v>
      </c>
      <c r="T2" s="10">
        <v>7.3</v>
      </c>
      <c r="U2" s="10">
        <v>15.4541</v>
      </c>
      <c r="V2" s="14">
        <v>0.27429999999999999</v>
      </c>
      <c r="W2" s="15">
        <v>6.52</v>
      </c>
      <c r="X2" s="15">
        <v>56.5643310546875</v>
      </c>
      <c r="Y2" s="17">
        <f>[1]组成与元素参数!W2</f>
        <v>0.64399999999999968</v>
      </c>
      <c r="Z2" s="17">
        <f>[1]组成与元素参数!W2</f>
        <v>0.64399999999999968</v>
      </c>
      <c r="AA2" s="17">
        <v>2.5</v>
      </c>
      <c r="AB2" s="17">
        <v>0.65161482500000001</v>
      </c>
      <c r="AC2" s="17">
        <v>2.5</v>
      </c>
      <c r="AD2" s="18">
        <v>2.9120499999999998</v>
      </c>
    </row>
    <row r="3" spans="1:30" ht="16">
      <c r="A3" s="2" t="s">
        <v>17</v>
      </c>
      <c r="B3" s="9" t="s">
        <v>128</v>
      </c>
      <c r="C3" s="3">
        <v>-1.9390000000000001</v>
      </c>
      <c r="D3" s="12">
        <v>0.83989304166666701</v>
      </c>
      <c r="E3" s="10">
        <v>4</v>
      </c>
      <c r="F3" s="10">
        <v>1.0216035521771085</v>
      </c>
      <c r="G3" s="10">
        <v>16.09294263685673</v>
      </c>
      <c r="H3" s="10">
        <v>2.1480000000000001</v>
      </c>
      <c r="I3" s="3">
        <v>2.4</v>
      </c>
      <c r="J3" s="3">
        <v>0</v>
      </c>
      <c r="K3" s="10">
        <v>0.54545454545454541</v>
      </c>
      <c r="L3" s="10">
        <v>2.8301595929018113</v>
      </c>
      <c r="M3" s="10">
        <v>8.7779687110127611</v>
      </c>
      <c r="N3" s="10">
        <v>1.9819108912235908</v>
      </c>
      <c r="O3" s="10">
        <v>7.3350416947007405E-2</v>
      </c>
      <c r="P3" s="10">
        <v>0.20026066368665085</v>
      </c>
      <c r="Q3" s="10">
        <v>0</v>
      </c>
      <c r="R3" s="10">
        <v>3.1280000000000001</v>
      </c>
      <c r="S3" s="10">
        <v>0.78</v>
      </c>
      <c r="T3" s="10">
        <v>7</v>
      </c>
      <c r="U3" s="10">
        <v>14.960835818181819</v>
      </c>
      <c r="V3" s="14">
        <v>0.27510000000000001</v>
      </c>
      <c r="W3" s="15">
        <v>6.29</v>
      </c>
      <c r="X3" s="15">
        <v>58.425564236111107</v>
      </c>
      <c r="Y3" s="17">
        <f>[1]组成与元素参数!W3</f>
        <v>0.62399999999999745</v>
      </c>
      <c r="Z3" s="17">
        <f>[1]组成与元素参数!W3</f>
        <v>0.62399999999999745</v>
      </c>
      <c r="AA3" s="17">
        <v>4.1666666666666599</v>
      </c>
      <c r="AB3" s="17">
        <v>0.83989304166666601</v>
      </c>
      <c r="AC3" s="17">
        <v>4.1666666666666599</v>
      </c>
      <c r="AD3" s="19">
        <v>1.36774</v>
      </c>
    </row>
    <row r="4" spans="1:30" ht="16">
      <c r="A4" s="2" t="s">
        <v>18</v>
      </c>
      <c r="B4" s="2" t="s">
        <v>113</v>
      </c>
      <c r="C4" s="3">
        <v>-1.722</v>
      </c>
      <c r="D4" s="12">
        <v>0.63528649999999998</v>
      </c>
      <c r="E4" s="10">
        <v>4</v>
      </c>
      <c r="F4" s="10">
        <v>0.9922385943301395</v>
      </c>
      <c r="G4" s="10">
        <v>20.625755543343583</v>
      </c>
      <c r="H4" s="10">
        <v>1.9499999999999997</v>
      </c>
      <c r="I4" s="3">
        <v>0.91</v>
      </c>
      <c r="J4" s="3">
        <v>3.0000000000000001E-3</v>
      </c>
      <c r="K4" s="10">
        <v>0.4</v>
      </c>
      <c r="L4" s="10">
        <v>4.2094190112008407</v>
      </c>
      <c r="M4" s="10">
        <v>8.250302217337433</v>
      </c>
      <c r="N4" s="10">
        <v>1.9249428730004707</v>
      </c>
      <c r="O4" s="10">
        <v>6.4317486264224275E-2</v>
      </c>
      <c r="P4" s="10">
        <v>0.14853488889248645</v>
      </c>
      <c r="Q4" s="10">
        <v>0</v>
      </c>
      <c r="R4" s="10">
        <v>2.9299999999999997</v>
      </c>
      <c r="S4" s="10">
        <v>0.85333333333333339</v>
      </c>
      <c r="T4" s="10">
        <v>10</v>
      </c>
      <c r="U4" s="10">
        <v>20.914279999999998</v>
      </c>
      <c r="V4" s="14">
        <v>0.26910000000000001</v>
      </c>
      <c r="W4" s="15">
        <v>6.54</v>
      </c>
      <c r="X4" s="15">
        <v>61.994047619047599</v>
      </c>
      <c r="Y4" s="17">
        <f>[1]组成与元素参数!W4</f>
        <v>0.72124891681027914</v>
      </c>
      <c r="Z4" s="17">
        <f>[1]组成与元素参数!W4</f>
        <v>0.72124891681027914</v>
      </c>
      <c r="AA4" s="17">
        <v>6.25</v>
      </c>
      <c r="AB4" s="17">
        <v>0.63528649999999998</v>
      </c>
      <c r="AC4" s="17">
        <v>6.25</v>
      </c>
      <c r="AD4" s="19">
        <v>2.22864</v>
      </c>
    </row>
    <row r="5" spans="1:30" ht="16">
      <c r="A5" s="2" t="s">
        <v>19</v>
      </c>
      <c r="B5" s="9" t="s">
        <v>122</v>
      </c>
      <c r="C5" s="3">
        <v>-1.6619999999999999</v>
      </c>
      <c r="D5" s="12">
        <v>0.7775395625</v>
      </c>
      <c r="E5" s="10">
        <v>4</v>
      </c>
      <c r="F5" s="10">
        <v>1.0020499460664263</v>
      </c>
      <c r="G5" s="10">
        <v>24.091359766062119</v>
      </c>
      <c r="H5" s="10">
        <v>1.9466666666666663</v>
      </c>
      <c r="I5" s="3">
        <v>0</v>
      </c>
      <c r="J5" s="3">
        <v>1.4E-2</v>
      </c>
      <c r="K5" s="10">
        <v>0.4</v>
      </c>
      <c r="L5" s="10">
        <v>3.771120199333843</v>
      </c>
      <c r="M5" s="10">
        <v>9.6365439064248477</v>
      </c>
      <c r="N5" s="10">
        <v>1.9439768953688668</v>
      </c>
      <c r="O5" s="10">
        <v>1.773506410069603E-2</v>
      </c>
      <c r="P5" s="10">
        <v>3.5470128201392725E-2</v>
      </c>
      <c r="Q5" s="10">
        <v>0</v>
      </c>
      <c r="R5" s="10">
        <v>2.9266666666666663</v>
      </c>
      <c r="S5" s="10">
        <v>0.88</v>
      </c>
      <c r="T5" s="10">
        <v>10.199999999999999</v>
      </c>
      <c r="U5" s="10">
        <v>21.884800000000002</v>
      </c>
      <c r="V5" s="14">
        <v>0.24829999999999999</v>
      </c>
      <c r="W5" s="15">
        <v>5.62</v>
      </c>
      <c r="X5" s="15">
        <v>64.794238683127503</v>
      </c>
      <c r="Y5" s="17">
        <f>[1]组成与元素参数!W5</f>
        <v>0.72596296201818955</v>
      </c>
      <c r="Z5" s="17">
        <f>[1]组成与元素参数!W5</f>
        <v>0.72596296201818955</v>
      </c>
      <c r="AA5" s="17">
        <v>6.25</v>
      </c>
      <c r="AB5" s="17">
        <v>0.7775395625</v>
      </c>
      <c r="AC5" s="17">
        <v>6.25</v>
      </c>
      <c r="AD5" s="19">
        <v>2.5924999999999998</v>
      </c>
    </row>
    <row r="6" spans="1:30" ht="16">
      <c r="A6" s="2" t="s">
        <v>20</v>
      </c>
      <c r="B6" s="2" t="s">
        <v>114</v>
      </c>
      <c r="C6" s="3">
        <v>-2.6749999999999998</v>
      </c>
      <c r="D6" s="12">
        <v>0.71672943749999996</v>
      </c>
      <c r="E6" s="10">
        <v>4</v>
      </c>
      <c r="F6" s="10">
        <v>1.0289375046889635</v>
      </c>
      <c r="G6" s="10">
        <v>20.329072073347049</v>
      </c>
      <c r="H6" s="10">
        <v>2.1520000000000001</v>
      </c>
      <c r="I6" s="3">
        <v>4.78</v>
      </c>
      <c r="J6" s="3">
        <v>0</v>
      </c>
      <c r="K6" s="10">
        <v>0.44444444444444442</v>
      </c>
      <c r="L6" s="10">
        <v>2.4472423240862762</v>
      </c>
      <c r="M6" s="10">
        <v>9.0351431437097993</v>
      </c>
      <c r="N6" s="10">
        <v>1.9961387590965889</v>
      </c>
      <c r="O6" s="10">
        <v>4.9914786706705606E-2</v>
      </c>
      <c r="P6" s="10">
        <v>0.15697846803271776</v>
      </c>
      <c r="Q6" s="10">
        <v>0</v>
      </c>
      <c r="R6" s="10">
        <v>3.1320000000000001</v>
      </c>
      <c r="S6" s="10">
        <v>0.75</v>
      </c>
      <c r="T6" s="10">
        <v>6.4444444444444446</v>
      </c>
      <c r="U6" s="10">
        <v>13.315666666666667</v>
      </c>
      <c r="V6" s="14">
        <v>0.30359999999999998</v>
      </c>
      <c r="W6" s="15">
        <v>7.91</v>
      </c>
      <c r="X6" s="15">
        <v>51.604938271604908</v>
      </c>
      <c r="Y6" s="17">
        <f>[1]组成与元素参数!W6</f>
        <v>0.61599999999999944</v>
      </c>
      <c r="Z6" s="17">
        <f>[1]组成与元素参数!W6</f>
        <v>0.61599999999999944</v>
      </c>
      <c r="AA6" s="17">
        <v>6.25</v>
      </c>
      <c r="AB6" s="17">
        <v>0.71672943749999996</v>
      </c>
      <c r="AC6" s="17">
        <v>6.25</v>
      </c>
      <c r="AD6" s="19">
        <v>4.3100199999999997</v>
      </c>
    </row>
    <row r="7" spans="1:30" ht="16">
      <c r="A7" s="2" t="s">
        <v>21</v>
      </c>
      <c r="B7" s="9" t="s">
        <v>123</v>
      </c>
      <c r="C7" s="3">
        <v>-2.0510000000000002</v>
      </c>
      <c r="D7" s="12">
        <v>0.81646945833333295</v>
      </c>
      <c r="E7" s="10">
        <v>2.6666666666666665</v>
      </c>
      <c r="F7" s="10">
        <v>0.99412432030571929</v>
      </c>
      <c r="G7" s="10">
        <v>16.575795342025959</v>
      </c>
      <c r="H7" s="10">
        <v>2.0820000000000003</v>
      </c>
      <c r="I7" s="3">
        <v>2.62</v>
      </c>
      <c r="J7" s="3">
        <v>6.0000000000000001E-3</v>
      </c>
      <c r="K7" s="10">
        <v>0.54545454545454541</v>
      </c>
      <c r="L7" s="10">
        <v>2.6810123610384635</v>
      </c>
      <c r="M7" s="10">
        <v>9.0413429138323398</v>
      </c>
      <c r="N7" s="10">
        <v>1.9286011813930954</v>
      </c>
      <c r="O7" s="10">
        <v>1.9533598800974793E-2</v>
      </c>
      <c r="P7" s="10">
        <v>5.079221299921044E-2</v>
      </c>
      <c r="Q7" s="10">
        <v>0.94280904158206336</v>
      </c>
      <c r="R7" s="10">
        <v>3.0620000000000003</v>
      </c>
      <c r="S7" s="10">
        <v>0.80600000000000005</v>
      </c>
      <c r="T7" s="10">
        <v>6.8181818181818183</v>
      </c>
      <c r="U7" s="10">
        <v>14.597640363636366</v>
      </c>
      <c r="V7" s="14">
        <v>0.27689999999999998</v>
      </c>
      <c r="W7" s="15">
        <v>5.96</v>
      </c>
      <c r="X7" s="15">
        <v>55.585317460317398</v>
      </c>
      <c r="Y7" s="17">
        <f>[1]组成与元素参数!W7</f>
        <v>0.75599999999999767</v>
      </c>
      <c r="Z7" s="17">
        <f>[1]组成与元素参数!W7</f>
        <v>0.75599999999999767</v>
      </c>
      <c r="AA7" s="17">
        <v>4.1666666666666599</v>
      </c>
      <c r="AB7" s="17">
        <v>0.81646945833333295</v>
      </c>
      <c r="AC7" s="17">
        <v>4.1666666666666599</v>
      </c>
      <c r="AD7" s="19">
        <v>1.49936</v>
      </c>
    </row>
    <row r="8" spans="1:30" ht="16">
      <c r="A8" s="2" t="s">
        <v>22</v>
      </c>
      <c r="B8" s="9" t="s">
        <v>124</v>
      </c>
      <c r="C8" s="3">
        <v>-2.036</v>
      </c>
      <c r="D8" s="12">
        <v>0.90171170833333303</v>
      </c>
      <c r="E8" s="10">
        <v>4</v>
      </c>
      <c r="F8" s="10">
        <v>1.021441740117021</v>
      </c>
      <c r="G8" s="10">
        <v>16.115714485486066</v>
      </c>
      <c r="H8" s="10">
        <v>2.1019999999999999</v>
      </c>
      <c r="I8" s="3">
        <v>3.51</v>
      </c>
      <c r="J8" s="3">
        <v>0</v>
      </c>
      <c r="K8" s="10">
        <v>0.54545454545454541</v>
      </c>
      <c r="L8" s="10">
        <v>2.9368720549907561</v>
      </c>
      <c r="M8" s="10">
        <v>8.7903897193560354</v>
      </c>
      <c r="N8" s="10">
        <v>1.9815969758270207</v>
      </c>
      <c r="O8" s="10">
        <v>7.479707837567813E-2</v>
      </c>
      <c r="P8" s="10">
        <v>0.1973521166198593</v>
      </c>
      <c r="Q8" s="10">
        <v>0</v>
      </c>
      <c r="R8" s="10">
        <v>3.0819999999999999</v>
      </c>
      <c r="S8" s="10">
        <v>0.77200000000000002</v>
      </c>
      <c r="T8" s="10">
        <v>7.2727272727272725</v>
      </c>
      <c r="U8" s="10">
        <v>15.546909090909089</v>
      </c>
      <c r="V8" s="14">
        <v>0.27979999999999999</v>
      </c>
      <c r="W8" s="15">
        <v>6.38</v>
      </c>
      <c r="X8" s="15">
        <v>57.584635416666593</v>
      </c>
      <c r="Y8" s="17">
        <f>[1]组成与元素参数!W8</f>
        <v>0.71599999999999986</v>
      </c>
      <c r="Z8" s="17">
        <f>[1]组成与元素参数!W8</f>
        <v>0.71599999999999986</v>
      </c>
      <c r="AA8" s="17">
        <v>4.1666666666666599</v>
      </c>
      <c r="AB8" s="17">
        <v>0.90171170833333303</v>
      </c>
      <c r="AC8" s="17">
        <v>4.1666666666666599</v>
      </c>
      <c r="AD8" s="19">
        <v>3.60318</v>
      </c>
    </row>
    <row r="9" spans="1:30" ht="16">
      <c r="A9" s="2" t="s">
        <v>23</v>
      </c>
      <c r="B9" s="9" t="s">
        <v>125</v>
      </c>
      <c r="C9" s="3">
        <v>-2.496</v>
      </c>
      <c r="D9" s="12">
        <v>0.66734819999999995</v>
      </c>
      <c r="E9" s="10">
        <v>3.8</v>
      </c>
      <c r="F9" s="10">
        <v>1.0128560807273108</v>
      </c>
      <c r="G9" s="10">
        <v>18.072756556553916</v>
      </c>
      <c r="H9" s="10">
        <v>2.0939999999999999</v>
      </c>
      <c r="I9" s="3">
        <v>4.66</v>
      </c>
      <c r="J9" s="3">
        <v>0</v>
      </c>
      <c r="K9" s="10">
        <v>0.5</v>
      </c>
      <c r="L9" s="10">
        <v>2.3094701894804737</v>
      </c>
      <c r="M9" s="10">
        <v>9.0363782782769579</v>
      </c>
      <c r="N9" s="10">
        <v>1.9649407966109826</v>
      </c>
      <c r="O9" s="10">
        <v>4.187631903139629E-2</v>
      </c>
      <c r="P9" s="10">
        <v>0.13900069879904264</v>
      </c>
      <c r="Q9" s="10">
        <v>0.39999999999999997</v>
      </c>
      <c r="R9" s="10">
        <v>3.0739999999999998</v>
      </c>
      <c r="S9" s="10">
        <v>0.77</v>
      </c>
      <c r="T9" s="10">
        <v>6</v>
      </c>
      <c r="U9" s="10">
        <v>12.567753849999999</v>
      </c>
      <c r="V9" s="14">
        <v>0.30099999999999999</v>
      </c>
      <c r="W9" s="15">
        <v>7.66</v>
      </c>
      <c r="X9" s="15">
        <v>53.009033203125</v>
      </c>
      <c r="Y9" s="17">
        <f>[1]组成与元素参数!W9</f>
        <v>0.73199999999999987</v>
      </c>
      <c r="Z9" s="17">
        <f>[1]组成与元素参数!W9</f>
        <v>0.73199999999999987</v>
      </c>
      <c r="AA9" s="17">
        <v>2.5</v>
      </c>
      <c r="AB9" s="17">
        <v>0.66734819999999995</v>
      </c>
      <c r="AC9" s="17">
        <v>2.5</v>
      </c>
      <c r="AD9" s="19">
        <v>4.3029999999999999</v>
      </c>
    </row>
    <row r="10" spans="1:30" ht="16">
      <c r="A10" s="2" t="s">
        <v>24</v>
      </c>
      <c r="B10" s="9" t="s">
        <v>126</v>
      </c>
      <c r="C10" s="3">
        <v>-2.1539999999999999</v>
      </c>
      <c r="D10" s="12">
        <v>0.70228493749999998</v>
      </c>
      <c r="E10" s="10">
        <v>6</v>
      </c>
      <c r="F10" s="10">
        <v>1.082946470358974</v>
      </c>
      <c r="G10" s="10">
        <v>26.712627647393866</v>
      </c>
      <c r="H10" s="10">
        <v>2.14</v>
      </c>
      <c r="I10" s="3">
        <v>1.36</v>
      </c>
      <c r="J10" s="3">
        <v>0</v>
      </c>
      <c r="K10" s="10">
        <v>0.33333333333333331</v>
      </c>
      <c r="L10" s="10">
        <v>4.9055057932575856</v>
      </c>
      <c r="M10" s="10">
        <v>8.9042092157979553</v>
      </c>
      <c r="N10" s="10">
        <v>2.1009161524964095</v>
      </c>
      <c r="O10" s="10">
        <v>7.2060286925041031E-2</v>
      </c>
      <c r="P10" s="10">
        <v>0.24088756159916436</v>
      </c>
      <c r="Q10" s="10">
        <v>0</v>
      </c>
      <c r="R10" s="10">
        <v>3.12</v>
      </c>
      <c r="S10" s="10">
        <v>0.88</v>
      </c>
      <c r="T10" s="10">
        <v>12</v>
      </c>
      <c r="U10" s="10">
        <v>26.304500000000001</v>
      </c>
      <c r="V10" s="14">
        <v>0.307</v>
      </c>
      <c r="W10" s="15">
        <v>6.95</v>
      </c>
      <c r="X10" s="15">
        <v>48.163265306122398</v>
      </c>
      <c r="Y10" s="17">
        <f>[1]组成与元素参数!W10</f>
        <v>0.55425625842203907</v>
      </c>
      <c r="Z10" s="17">
        <f>[1]组成与元素参数!W10</f>
        <v>0.55425625842203907</v>
      </c>
      <c r="AA10" s="17">
        <v>6.25</v>
      </c>
      <c r="AB10" s="17">
        <v>0.70228493749999998</v>
      </c>
      <c r="AC10" s="17">
        <v>6.25</v>
      </c>
      <c r="AD10" s="19">
        <v>1.97143</v>
      </c>
    </row>
    <row r="11" spans="1:30" ht="16">
      <c r="A11" s="2" t="s">
        <v>25</v>
      </c>
      <c r="B11" s="9" t="s">
        <v>127</v>
      </c>
      <c r="C11" s="3">
        <v>-2.4630000000000001</v>
      </c>
      <c r="D11" s="12">
        <v>0.71412750000000003</v>
      </c>
      <c r="E11" s="10">
        <v>3.75</v>
      </c>
      <c r="F11" s="10">
        <v>1.0230506294885884</v>
      </c>
      <c r="G11" s="10">
        <v>16.509414944547604</v>
      </c>
      <c r="H11" s="10">
        <v>2.1585714285714284</v>
      </c>
      <c r="I11" s="3">
        <v>4.76</v>
      </c>
      <c r="J11" s="3">
        <v>1E-3</v>
      </c>
      <c r="K11" s="10">
        <v>0.53333333333333333</v>
      </c>
      <c r="L11" s="10">
        <v>3.0518641441982548</v>
      </c>
      <c r="M11" s="10">
        <v>8.8050213037587231</v>
      </c>
      <c r="N11" s="10">
        <v>1.9847182212078618</v>
      </c>
      <c r="O11" s="10">
        <v>8.2315317810441282E-2</v>
      </c>
      <c r="P11" s="10">
        <v>0.25003197710886549</v>
      </c>
      <c r="Q11" s="10">
        <v>0.4330127018922193</v>
      </c>
      <c r="R11" s="10">
        <v>3.1385714285714283</v>
      </c>
      <c r="S11" s="10">
        <v>0.81571428571428584</v>
      </c>
      <c r="T11" s="10">
        <v>7.4666666666666668</v>
      </c>
      <c r="U11" s="10">
        <v>16.182533333333335</v>
      </c>
      <c r="V11" s="14">
        <v>0.30709999999999998</v>
      </c>
      <c r="W11" s="15">
        <v>7.9</v>
      </c>
      <c r="X11" s="15">
        <v>52.129464285714199</v>
      </c>
      <c r="Y11" s="17">
        <f>[1]组成与元素参数!W11</f>
        <v>0.73834619389607203</v>
      </c>
      <c r="Z11" s="17">
        <f>[1]组成与元素参数!W11</f>
        <v>0.73834619389607203</v>
      </c>
      <c r="AA11" s="17">
        <v>6.25</v>
      </c>
      <c r="AB11" s="17">
        <v>0.71412750000000003</v>
      </c>
      <c r="AC11" s="17">
        <v>6.25</v>
      </c>
      <c r="AD11" s="19">
        <v>3.7483300000000002</v>
      </c>
    </row>
    <row r="12" spans="1:30" ht="16">
      <c r="A12" s="2" t="s">
        <v>26</v>
      </c>
      <c r="B12" s="9" t="s">
        <v>129</v>
      </c>
      <c r="C12" s="3">
        <v>-2.5550000000000002</v>
      </c>
      <c r="D12" s="12">
        <v>0.71118937500000001</v>
      </c>
      <c r="E12" s="10">
        <v>4</v>
      </c>
      <c r="F12" s="10">
        <v>1.0093419327574187</v>
      </c>
      <c r="G12" s="10">
        <v>19.859564474595544</v>
      </c>
      <c r="H12" s="10">
        <v>2.11</v>
      </c>
      <c r="I12" s="3">
        <v>5.15</v>
      </c>
      <c r="J12" s="3">
        <v>0</v>
      </c>
      <c r="K12" s="10">
        <v>0.42857142857142855</v>
      </c>
      <c r="L12" s="10">
        <v>2.2193125881653177</v>
      </c>
      <c r="M12" s="10">
        <v>8.5112419176838046</v>
      </c>
      <c r="N12" s="10">
        <v>1.9581233495493919</v>
      </c>
      <c r="O12" s="10">
        <v>3.2107575294238203E-2</v>
      </c>
      <c r="P12" s="10">
        <v>9.027024657915117E-2</v>
      </c>
      <c r="Q12" s="10">
        <v>0</v>
      </c>
      <c r="R12" s="10">
        <v>3.09</v>
      </c>
      <c r="S12" s="10">
        <v>0.70499999999999996</v>
      </c>
      <c r="T12" s="10">
        <v>5.4285714285714288</v>
      </c>
      <c r="U12" s="10">
        <v>11.375285714285713</v>
      </c>
      <c r="V12" s="14">
        <v>0.3024</v>
      </c>
      <c r="W12" s="15">
        <v>7.68</v>
      </c>
      <c r="X12" s="15">
        <v>51.7881944444444</v>
      </c>
      <c r="Y12" s="17">
        <f>[1]组成与元素参数!W12</f>
        <v>0.60621778264910686</v>
      </c>
      <c r="Z12" s="17">
        <f>[1]组成与元素参数!W12</f>
        <v>0.60621778264910686</v>
      </c>
      <c r="AA12" s="17">
        <v>4.1666666666666599</v>
      </c>
      <c r="AB12" s="17">
        <v>0.71118937500000001</v>
      </c>
      <c r="AC12" s="17">
        <v>4.1666666666666599</v>
      </c>
      <c r="AD12" s="19">
        <v>4.2045300000000001</v>
      </c>
    </row>
    <row r="13" spans="1:30" ht="16">
      <c r="A13" s="2" t="s">
        <v>27</v>
      </c>
      <c r="B13" s="9" t="s">
        <v>130</v>
      </c>
      <c r="C13" s="3">
        <v>-1.387</v>
      </c>
      <c r="D13" s="12">
        <v>0.81098056249999995</v>
      </c>
      <c r="E13" s="10">
        <v>6</v>
      </c>
      <c r="F13" s="10">
        <v>1.0908132600574898</v>
      </c>
      <c r="G13" s="10">
        <v>46.400424923947696</v>
      </c>
      <c r="H13" s="10">
        <v>2.36</v>
      </c>
      <c r="I13" s="3">
        <v>2.94</v>
      </c>
      <c r="J13" s="3">
        <v>0</v>
      </c>
      <c r="K13" s="10">
        <v>0.2</v>
      </c>
      <c r="L13" s="10">
        <v>2.4673094187149855</v>
      </c>
      <c r="M13" s="10">
        <v>9.2800849847895392</v>
      </c>
      <c r="N13" s="10">
        <v>2.1161777245115299</v>
      </c>
      <c r="O13" s="10">
        <v>4.6314878193473676E-8</v>
      </c>
      <c r="P13" s="10">
        <v>1.4756209942845544E-7</v>
      </c>
      <c r="Q13" s="10">
        <v>0</v>
      </c>
      <c r="R13" s="10">
        <v>3.34</v>
      </c>
      <c r="S13" s="10">
        <v>0.67249999999999999</v>
      </c>
      <c r="T13" s="10">
        <v>6.8</v>
      </c>
      <c r="U13" s="10">
        <v>13.788800000000002</v>
      </c>
      <c r="V13" s="14">
        <v>0.31030000000000002</v>
      </c>
      <c r="W13" s="15">
        <v>9.6199999999999992</v>
      </c>
      <c r="X13" s="15">
        <v>52.1714285714285</v>
      </c>
      <c r="Y13" s="17">
        <f>[1]组成与元素参数!W13</f>
        <v>0.17320508075688587</v>
      </c>
      <c r="Z13" s="17">
        <f>[1]组成与元素参数!W13</f>
        <v>0.17320508075688587</v>
      </c>
      <c r="AA13" s="17">
        <v>6.25</v>
      </c>
      <c r="AB13" s="17">
        <v>0.81098056249999995</v>
      </c>
      <c r="AC13" s="17">
        <v>6.25</v>
      </c>
      <c r="AD13" s="19">
        <v>5.0672300000000003</v>
      </c>
    </row>
    <row r="14" spans="1:30" ht="16">
      <c r="A14" s="2" t="s">
        <v>28</v>
      </c>
      <c r="B14" s="9" t="s">
        <v>115</v>
      </c>
      <c r="C14" s="3">
        <v>-1.65</v>
      </c>
      <c r="D14" s="12">
        <v>0.79404881250000003</v>
      </c>
      <c r="E14" s="10">
        <v>6</v>
      </c>
      <c r="F14" s="10">
        <v>1.0474299764979953</v>
      </c>
      <c r="G14" s="10">
        <v>15.776972191850987</v>
      </c>
      <c r="H14" s="10">
        <v>2.46</v>
      </c>
      <c r="I14" s="3">
        <v>1.97</v>
      </c>
      <c r="J14" s="3">
        <v>0</v>
      </c>
      <c r="K14" s="10">
        <v>0.5</v>
      </c>
      <c r="L14" s="10">
        <v>2.4143482791695243</v>
      </c>
      <c r="M14" s="10">
        <v>7.8884860959254937</v>
      </c>
      <c r="N14" s="10">
        <v>2.0320141544061108</v>
      </c>
      <c r="O14" s="10">
        <v>8.3081764260456062E-2</v>
      </c>
      <c r="P14" s="10">
        <v>0.16616355257062887</v>
      </c>
      <c r="Q14" s="10">
        <v>0</v>
      </c>
      <c r="R14" s="10">
        <v>3.44</v>
      </c>
      <c r="S14" s="10">
        <v>0.66</v>
      </c>
      <c r="T14" s="10">
        <v>5.5</v>
      </c>
      <c r="U14" s="10">
        <v>11.4695</v>
      </c>
      <c r="V14" s="14">
        <v>0.30370000000000003</v>
      </c>
      <c r="W14" s="15">
        <v>9.7200000000000006</v>
      </c>
      <c r="X14" s="15">
        <v>53.459362139917701</v>
      </c>
      <c r="Y14" s="17">
        <f>[1]组成与元素参数!W14</f>
        <v>0</v>
      </c>
      <c r="Z14" s="17">
        <f>[1]组成与元素参数!W14</f>
        <v>0</v>
      </c>
      <c r="AA14" s="17">
        <v>6.25</v>
      </c>
      <c r="AB14" s="17">
        <v>0.79404881250000003</v>
      </c>
      <c r="AC14" s="17">
        <v>6.25</v>
      </c>
      <c r="AD14" s="19">
        <v>3.22702</v>
      </c>
    </row>
    <row r="15" spans="1:30" ht="16">
      <c r="A15" s="2" t="s">
        <v>29</v>
      </c>
      <c r="B15" s="2" t="s">
        <v>116</v>
      </c>
      <c r="C15" s="3">
        <v>-2.0619999999999998</v>
      </c>
      <c r="D15" s="12">
        <v>0.87293212499999995</v>
      </c>
      <c r="E15" s="10">
        <v>4</v>
      </c>
      <c r="F15" s="10">
        <v>1.0387190742201495</v>
      </c>
      <c r="G15" s="10">
        <v>12.598174365147363</v>
      </c>
      <c r="H15" s="10">
        <v>2.46</v>
      </c>
      <c r="I15" s="3">
        <v>4.9000000000000004</v>
      </c>
      <c r="J15" s="3">
        <v>0</v>
      </c>
      <c r="K15" s="10">
        <v>0.66666666666666663</v>
      </c>
      <c r="L15" s="10">
        <v>1.969144312105535</v>
      </c>
      <c r="M15" s="10">
        <v>8.3987829100982427</v>
      </c>
      <c r="N15" s="10">
        <v>2.0151150039870895</v>
      </c>
      <c r="O15" s="10">
        <v>2.4825341532472731E-16</v>
      </c>
      <c r="P15" s="10">
        <v>4.4408920985006262E-16</v>
      </c>
      <c r="Q15" s="10">
        <v>0</v>
      </c>
      <c r="R15" s="10">
        <v>3.44</v>
      </c>
      <c r="S15" s="10">
        <v>0.66</v>
      </c>
      <c r="T15" s="10">
        <v>4.666666666666667</v>
      </c>
      <c r="U15" s="10">
        <v>9.9596666666666671</v>
      </c>
      <c r="V15" s="14">
        <v>0.30059999999999998</v>
      </c>
      <c r="W15" s="15">
        <v>7.26</v>
      </c>
      <c r="X15" s="15">
        <v>52.9296875</v>
      </c>
      <c r="Y15" s="17">
        <f>[1]组成与元素参数!W15</f>
        <v>0</v>
      </c>
      <c r="Z15" s="17">
        <f>[1]组成与元素参数!W15</f>
        <v>0</v>
      </c>
      <c r="AA15" s="17">
        <v>6.25</v>
      </c>
      <c r="AB15" s="17">
        <v>0.87293212499999995</v>
      </c>
      <c r="AC15" s="17">
        <v>6.25</v>
      </c>
      <c r="AD15" s="19">
        <v>3.5145499999999998</v>
      </c>
    </row>
    <row r="16" spans="1:30" ht="16">
      <c r="A16" s="2" t="s">
        <v>30</v>
      </c>
      <c r="B16" s="9" t="s">
        <v>131</v>
      </c>
      <c r="C16" s="3">
        <v>-1.5029999999999999</v>
      </c>
      <c r="D16" s="12">
        <v>0.75706193749999995</v>
      </c>
      <c r="E16" s="10">
        <v>4</v>
      </c>
      <c r="F16" s="10">
        <v>1.0537885741471165</v>
      </c>
      <c r="G16" s="10">
        <v>22.789580138697485</v>
      </c>
      <c r="H16" s="10">
        <v>1.6</v>
      </c>
      <c r="I16" s="3">
        <v>3.39</v>
      </c>
      <c r="J16" s="3">
        <v>0</v>
      </c>
      <c r="K16" s="10">
        <v>0.66666666666666663</v>
      </c>
      <c r="L16" s="10">
        <v>1.6736851728222872</v>
      </c>
      <c r="M16" s="10">
        <v>15.193053425798324</v>
      </c>
      <c r="N16" s="10">
        <v>2.4553273777627815</v>
      </c>
      <c r="O16" s="10">
        <v>3.4219371797089426E-16</v>
      </c>
      <c r="P16" s="10">
        <v>1.3322676295501878E-15</v>
      </c>
      <c r="Q16" s="10">
        <v>0</v>
      </c>
      <c r="R16" s="10">
        <v>2.58</v>
      </c>
      <c r="S16" s="10">
        <v>1.05</v>
      </c>
      <c r="T16" s="10">
        <v>7.333333333333333</v>
      </c>
      <c r="U16" s="10">
        <v>15.313333333333334</v>
      </c>
      <c r="V16" s="14">
        <v>0.36620000000000003</v>
      </c>
      <c r="W16" s="15">
        <v>15.46</v>
      </c>
      <c r="X16" s="15">
        <v>46.109693877551003</v>
      </c>
      <c r="Y16" s="17">
        <f>[1]组成与元素参数!W16</f>
        <v>0</v>
      </c>
      <c r="Z16" s="17">
        <f>[1]组成与元素参数!W16</f>
        <v>0</v>
      </c>
      <c r="AA16" s="17">
        <v>6.25</v>
      </c>
      <c r="AB16" s="17">
        <v>0.75706193749999995</v>
      </c>
      <c r="AC16" s="17">
        <v>6.25</v>
      </c>
      <c r="AD16" s="19">
        <v>3.3138899999999998</v>
      </c>
    </row>
    <row r="17" spans="1:30" ht="16">
      <c r="A17" s="2" t="s">
        <v>31</v>
      </c>
      <c r="B17" s="9" t="s">
        <v>132</v>
      </c>
      <c r="C17" s="3">
        <v>-0.48299999999999998</v>
      </c>
      <c r="D17" s="12">
        <v>0.846210388888889</v>
      </c>
      <c r="E17" s="10">
        <v>2.6666666666666665</v>
      </c>
      <c r="F17" s="10">
        <v>1.0275817290544604</v>
      </c>
      <c r="G17" s="10">
        <v>14.499127076571767</v>
      </c>
      <c r="H17" s="10">
        <v>2.06</v>
      </c>
      <c r="I17" s="3">
        <v>0.98</v>
      </c>
      <c r="J17" s="3">
        <v>0</v>
      </c>
      <c r="K17" s="10">
        <v>0.75</v>
      </c>
      <c r="L17" s="10">
        <v>1.3295419737350951</v>
      </c>
      <c r="M17" s="10">
        <v>10.874345307428825</v>
      </c>
      <c r="N17" s="10">
        <v>2.0448876408183758</v>
      </c>
      <c r="O17" s="10">
        <v>6.7878110332916908E-2</v>
      </c>
      <c r="P17" s="10">
        <v>0.15675779151155367</v>
      </c>
      <c r="Q17" s="10">
        <v>0.47140452079103168</v>
      </c>
      <c r="R17" s="10">
        <v>3.04</v>
      </c>
      <c r="S17" s="10">
        <v>0.71</v>
      </c>
      <c r="T17" s="10">
        <v>4</v>
      </c>
      <c r="U17" s="10">
        <v>8.7067499999999995</v>
      </c>
      <c r="V17" s="14">
        <v>0.31319999999999998</v>
      </c>
      <c r="W17" s="15">
        <v>5.75</v>
      </c>
      <c r="X17" s="15">
        <v>52.191071428571398</v>
      </c>
      <c r="Y17" s="17">
        <f>[1]组成与元素参数!W17</f>
        <v>0</v>
      </c>
      <c r="Z17" s="17">
        <f>[1]组成与元素参数!W17</f>
        <v>0</v>
      </c>
      <c r="AA17" s="17">
        <v>5.55555555555555</v>
      </c>
      <c r="AB17" s="17">
        <v>0.846210388888889</v>
      </c>
      <c r="AC17" s="17">
        <v>5.55555555555555</v>
      </c>
      <c r="AD17" s="19">
        <v>1.07352</v>
      </c>
    </row>
    <row r="18" spans="1:30" ht="16">
      <c r="A18" s="2" t="s">
        <v>32</v>
      </c>
      <c r="B18" s="2" t="s">
        <v>117</v>
      </c>
      <c r="C18" s="3">
        <v>-0.80900000000000005</v>
      </c>
      <c r="D18" s="12">
        <v>0.50706533333333303</v>
      </c>
      <c r="E18" s="10">
        <v>1.6666666666666667</v>
      </c>
      <c r="F18" s="10">
        <v>1.050503890581189</v>
      </c>
      <c r="G18" s="10">
        <v>19.392440231175406</v>
      </c>
      <c r="H18" s="10">
        <v>1.21</v>
      </c>
      <c r="I18" s="3">
        <v>0.7</v>
      </c>
      <c r="J18" s="3">
        <v>0</v>
      </c>
      <c r="K18" s="10">
        <v>0.75</v>
      </c>
      <c r="L18" s="10">
        <v>1.478334928656738</v>
      </c>
      <c r="M18" s="10">
        <v>14.544330173381555</v>
      </c>
      <c r="N18" s="10">
        <v>2.4686841428657944</v>
      </c>
      <c r="O18" s="10">
        <v>4.0031120326824182E-2</v>
      </c>
      <c r="P18" s="10">
        <v>8.1713206553881257E-2</v>
      </c>
      <c r="Q18" s="10">
        <v>0.94280904158206336</v>
      </c>
      <c r="R18" s="10">
        <v>2.19</v>
      </c>
      <c r="S18" s="10">
        <v>1.07</v>
      </c>
      <c r="T18" s="10">
        <v>6</v>
      </c>
      <c r="U18" s="10">
        <v>12.9484405</v>
      </c>
      <c r="V18" s="14">
        <v>0.39539999999999997</v>
      </c>
      <c r="W18" s="15">
        <v>13.84</v>
      </c>
      <c r="X18" s="15">
        <v>39.448559670781805</v>
      </c>
      <c r="Y18" s="17">
        <f>[1]组成与元素参数!W18</f>
        <v>0</v>
      </c>
      <c r="Z18" s="17">
        <f>[1]组成与元素参数!W18</f>
        <v>0</v>
      </c>
      <c r="AA18" s="17">
        <v>5.55555555555555</v>
      </c>
      <c r="AB18" s="17">
        <v>0.50706533333333303</v>
      </c>
      <c r="AC18" s="17">
        <v>5.55555555555555</v>
      </c>
      <c r="AD18" s="19">
        <v>1.69676</v>
      </c>
    </row>
    <row r="19" spans="1:30" ht="16">
      <c r="A19" s="2" t="s">
        <v>33</v>
      </c>
      <c r="B19" s="2" t="s">
        <v>118</v>
      </c>
      <c r="C19" s="3">
        <v>-1.452</v>
      </c>
      <c r="D19" s="12">
        <v>0.70410737499999998</v>
      </c>
      <c r="E19" s="10">
        <v>4</v>
      </c>
      <c r="F19" s="10">
        <v>1.0392459420471725</v>
      </c>
      <c r="G19" s="10">
        <v>26.358346302503445</v>
      </c>
      <c r="H19" s="10">
        <v>1.5699999999999998</v>
      </c>
      <c r="I19" s="3">
        <v>2.97</v>
      </c>
      <c r="J19" s="3">
        <v>0</v>
      </c>
      <c r="K19" s="10">
        <v>0.66666666666666663</v>
      </c>
      <c r="L19" s="10">
        <v>2.9247417716701558</v>
      </c>
      <c r="M19" s="10">
        <v>17.57223086833563</v>
      </c>
      <c r="N19" s="10">
        <v>2.5773299362769881</v>
      </c>
      <c r="O19" s="10">
        <v>2.9373740229761033E-16</v>
      </c>
      <c r="P19" s="10">
        <v>4.4408920985006262E-16</v>
      </c>
      <c r="Q19" s="10">
        <v>0</v>
      </c>
      <c r="R19" s="10">
        <v>2.5499999999999998</v>
      </c>
      <c r="S19" s="10">
        <v>1.2</v>
      </c>
      <c r="T19" s="10">
        <v>13.333333333333334</v>
      </c>
      <c r="U19" s="10">
        <v>30.950333333333333</v>
      </c>
      <c r="V19" s="14">
        <v>0.37240000000000001</v>
      </c>
      <c r="W19" s="15">
        <v>15.69</v>
      </c>
      <c r="X19" s="15">
        <v>44.759259259259196</v>
      </c>
      <c r="Y19" s="17">
        <f>[1]组成与元素参数!W19</f>
        <v>0</v>
      </c>
      <c r="Z19" s="17">
        <f>[1]组成与元素参数!W19</f>
        <v>0</v>
      </c>
      <c r="AA19" s="17">
        <v>6.25</v>
      </c>
      <c r="AB19" s="17">
        <v>0.70410737499999998</v>
      </c>
      <c r="AC19" s="17">
        <v>6.25</v>
      </c>
      <c r="AD19" s="19">
        <v>2.96387</v>
      </c>
    </row>
    <row r="20" spans="1:30" ht="16">
      <c r="A20" s="2" t="s">
        <v>34</v>
      </c>
      <c r="B20" s="2" t="s">
        <v>119</v>
      </c>
      <c r="C20" s="3">
        <v>-3.1640000000000001</v>
      </c>
      <c r="D20" s="12">
        <v>0.90450918749999998</v>
      </c>
      <c r="E20" s="10">
        <v>6</v>
      </c>
      <c r="F20" s="10">
        <v>1.1036289594594595</v>
      </c>
      <c r="G20" s="10">
        <v>17.022151233176075</v>
      </c>
      <c r="H20" s="10">
        <v>3</v>
      </c>
      <c r="I20" s="3">
        <v>8.7200000000000006</v>
      </c>
      <c r="J20" s="3">
        <v>0</v>
      </c>
      <c r="K20" s="10">
        <v>0.5</v>
      </c>
      <c r="L20" s="10">
        <v>2.530334205799603</v>
      </c>
      <c r="M20" s="10">
        <v>8.5110756165880375</v>
      </c>
      <c r="N20" s="10">
        <v>2.0417135750000002</v>
      </c>
      <c r="O20" s="10">
        <v>0</v>
      </c>
      <c r="P20" s="10">
        <v>0</v>
      </c>
      <c r="Q20" s="10">
        <v>0</v>
      </c>
      <c r="R20" s="10">
        <v>3.98</v>
      </c>
      <c r="S20" s="10">
        <v>0.56999999999999995</v>
      </c>
      <c r="T20" s="10">
        <v>6</v>
      </c>
      <c r="U20" s="10">
        <v>12.9692015</v>
      </c>
      <c r="V20" s="14">
        <v>0.27579999999999999</v>
      </c>
      <c r="W20" s="15">
        <v>6.53</v>
      </c>
      <c r="X20" s="15">
        <v>57.537499999999994</v>
      </c>
      <c r="Y20" s="17">
        <f>[1]组成与元素参数!W20</f>
        <v>0</v>
      </c>
      <c r="Z20" s="17">
        <f>[1]组成与元素参数!W20</f>
        <v>0</v>
      </c>
      <c r="AA20" s="17">
        <v>6.25</v>
      </c>
      <c r="AB20" s="17">
        <v>0.90450918749999998</v>
      </c>
      <c r="AC20" s="17">
        <v>6.25</v>
      </c>
      <c r="AD20" s="19">
        <v>6.6668399999999997</v>
      </c>
    </row>
    <row r="21" spans="1:30" ht="16">
      <c r="A21" s="2" t="s">
        <v>35</v>
      </c>
      <c r="B21" s="9" t="s">
        <v>133</v>
      </c>
      <c r="C21" s="3">
        <v>-3.5000000000000003E-2</v>
      </c>
      <c r="D21" s="12">
        <v>0.92015875000000003</v>
      </c>
      <c r="E21" s="10">
        <v>12</v>
      </c>
      <c r="F21" s="10">
        <v>1.1385056957000019</v>
      </c>
      <c r="G21" s="10">
        <v>58.627385066095009</v>
      </c>
      <c r="H21" s="10">
        <v>1.5699999999999998</v>
      </c>
      <c r="I21" s="3">
        <v>0</v>
      </c>
      <c r="J21" s="3">
        <v>0</v>
      </c>
      <c r="K21" s="10">
        <v>0.14285714285714285</v>
      </c>
      <c r="L21" s="10">
        <v>2.2377349662318013</v>
      </c>
      <c r="M21" s="10">
        <v>8.3753407237278577</v>
      </c>
      <c r="N21" s="10">
        <v>2.3225516192280042</v>
      </c>
      <c r="O21" s="10">
        <v>4.0539612963254119E-16</v>
      </c>
      <c r="P21" s="10">
        <v>4.4408920985006262E-16</v>
      </c>
      <c r="Q21" s="10">
        <v>0</v>
      </c>
      <c r="R21" s="10">
        <v>2.5499999999999998</v>
      </c>
      <c r="S21" s="10">
        <v>0.76000000000000012</v>
      </c>
      <c r="T21" s="10">
        <v>5.5714285714285712</v>
      </c>
      <c r="U21" s="10">
        <v>11.286571428571429</v>
      </c>
      <c r="V21" s="14">
        <v>0.3488</v>
      </c>
      <c r="W21" s="15">
        <v>5.1100000000000003</v>
      </c>
      <c r="X21" s="15">
        <v>41.580246913580197</v>
      </c>
      <c r="Y21" s="17">
        <f>[1]组成与元素参数!W21</f>
        <v>2.9802322387695312E-8</v>
      </c>
      <c r="Z21" s="17">
        <f>[1]组成与元素参数!W21</f>
        <v>2.9802322387695312E-8</v>
      </c>
      <c r="AA21" s="17">
        <v>6.25</v>
      </c>
      <c r="AB21" s="17">
        <v>0.92015875000000003</v>
      </c>
      <c r="AC21" s="17">
        <v>6.25</v>
      </c>
      <c r="AD21" s="19">
        <v>0.24081</v>
      </c>
    </row>
    <row r="22" spans="1:30" ht="16">
      <c r="A22" s="2" t="s">
        <v>140</v>
      </c>
      <c r="B22" s="9" t="s">
        <v>134</v>
      </c>
      <c r="C22" s="3">
        <v>-0.1</v>
      </c>
      <c r="D22" s="12">
        <v>0.84476312499999995</v>
      </c>
      <c r="E22" s="10">
        <v>2</v>
      </c>
      <c r="F22" s="10">
        <v>1.071700661892087</v>
      </c>
      <c r="G22" s="10">
        <v>22.984168711505667</v>
      </c>
      <c r="H22" s="10">
        <v>1.5699999999999998</v>
      </c>
      <c r="I22" s="3">
        <v>3.27</v>
      </c>
      <c r="J22" s="3">
        <v>0</v>
      </c>
      <c r="K22" s="10">
        <v>0.5</v>
      </c>
      <c r="L22" s="10">
        <v>1.3691544061046914</v>
      </c>
      <c r="M22" s="10">
        <v>11.492084355752834</v>
      </c>
      <c r="N22" s="10">
        <v>2.1862693502598574</v>
      </c>
      <c r="O22" s="10">
        <v>2.7194799110210365E-16</v>
      </c>
      <c r="P22" s="10">
        <v>8.8817841970012523E-16</v>
      </c>
      <c r="Q22" s="10">
        <v>0</v>
      </c>
      <c r="R22" s="10">
        <v>2.5499999999999998</v>
      </c>
      <c r="S22" s="10">
        <v>0.76</v>
      </c>
      <c r="T22" s="10">
        <v>4.5</v>
      </c>
      <c r="U22" s="10">
        <v>9.4755000000000003</v>
      </c>
      <c r="V22" s="14">
        <v>0.35630000000000001</v>
      </c>
      <c r="W22" s="15">
        <v>10.94</v>
      </c>
      <c r="X22" s="15">
        <v>46.035714285714199</v>
      </c>
      <c r="Y22" s="17">
        <f>[1]组成与元素参数!W22</f>
        <v>0</v>
      </c>
      <c r="Z22" s="17">
        <f>[1]组成与元素参数!W22</f>
        <v>0</v>
      </c>
      <c r="AA22" s="17">
        <v>6.25</v>
      </c>
      <c r="AB22" s="17">
        <v>0.84476312499999995</v>
      </c>
      <c r="AC22" s="17">
        <v>6.25</v>
      </c>
      <c r="AD22" s="19">
        <v>4.1949500000000004</v>
      </c>
    </row>
    <row r="23" spans="1:30" ht="16">
      <c r="A23" s="2" t="s">
        <v>36</v>
      </c>
      <c r="B23" s="9" t="s">
        <v>121</v>
      </c>
      <c r="C23" s="3">
        <v>-2.2480000000000002</v>
      </c>
      <c r="D23" s="12">
        <v>0.71019881250000005</v>
      </c>
      <c r="E23" s="10">
        <v>4</v>
      </c>
      <c r="F23" s="10">
        <v>0.99978946286026527</v>
      </c>
      <c r="G23" s="10">
        <v>28.612172303738443</v>
      </c>
      <c r="H23" s="10">
        <v>2.2375000000000003</v>
      </c>
      <c r="I23" s="3">
        <v>5.0599999999999996</v>
      </c>
      <c r="J23" s="3">
        <v>0</v>
      </c>
      <c r="K23" s="10">
        <v>0.33333333333333331</v>
      </c>
      <c r="L23" s="10">
        <v>2.144085903245279</v>
      </c>
      <c r="M23" s="10">
        <v>9.5373907679128145</v>
      </c>
      <c r="N23" s="10">
        <v>1.9395915579489147</v>
      </c>
      <c r="O23" s="10">
        <v>3.8787664539990108E-2</v>
      </c>
      <c r="P23" s="10">
        <v>0.106204793627795</v>
      </c>
      <c r="Q23" s="10">
        <v>0</v>
      </c>
      <c r="R23" s="10">
        <v>3.2175000000000002</v>
      </c>
      <c r="S23" s="10">
        <v>0.68500000000000005</v>
      </c>
      <c r="T23" s="10">
        <v>6</v>
      </c>
      <c r="U23" s="10">
        <v>12.314666666666668</v>
      </c>
      <c r="V23" s="14">
        <v>0.29630000000000001</v>
      </c>
      <c r="W23" s="15">
        <v>8.15</v>
      </c>
      <c r="X23" s="15">
        <v>53.2594752186588</v>
      </c>
      <c r="Y23" s="17">
        <f>[1]组成与元素参数!W23</f>
        <v>0.38538130468407178</v>
      </c>
      <c r="Z23" s="17">
        <f>[1]组成与元素参数!W23</f>
        <v>0.38538130468407178</v>
      </c>
      <c r="AA23" s="17">
        <v>6.25</v>
      </c>
      <c r="AB23" s="17">
        <v>0.71019881250000005</v>
      </c>
      <c r="AC23" s="17">
        <v>6.25</v>
      </c>
      <c r="AD23" s="19">
        <v>4.8499800000000004</v>
      </c>
    </row>
    <row r="24" spans="1:30" ht="16">
      <c r="A24" s="2" t="s">
        <v>141</v>
      </c>
      <c r="B24" s="9" t="s">
        <v>135</v>
      </c>
      <c r="C24" s="3">
        <v>-1.9610000000000001</v>
      </c>
      <c r="D24" s="12">
        <v>0.78900393749999997</v>
      </c>
      <c r="E24" s="10">
        <v>4</v>
      </c>
      <c r="F24" s="10">
        <v>1.0490509693498584</v>
      </c>
      <c r="G24" s="10">
        <v>42.265919554777064</v>
      </c>
      <c r="H24" s="10">
        <v>2.1633333333333331</v>
      </c>
      <c r="I24" s="3">
        <v>3.6</v>
      </c>
      <c r="J24" s="3">
        <v>5.7000000000000002E-2</v>
      </c>
      <c r="K24" s="10">
        <v>0.25</v>
      </c>
      <c r="L24" s="10">
        <v>2.0016790318212343</v>
      </c>
      <c r="M24" s="10">
        <v>10.566479888694266</v>
      </c>
      <c r="N24" s="10">
        <v>2.0351588805387255</v>
      </c>
      <c r="O24" s="10">
        <v>3.5324528531780502E-2</v>
      </c>
      <c r="P24" s="10">
        <v>9.839336745308791E-2</v>
      </c>
      <c r="Q24" s="10">
        <v>0</v>
      </c>
      <c r="R24" s="10">
        <v>3.1433333333333331</v>
      </c>
      <c r="S24" s="10">
        <v>0.69333333333333336</v>
      </c>
      <c r="T24" s="10">
        <v>6.25</v>
      </c>
      <c r="U24" s="10">
        <v>12.73725</v>
      </c>
      <c r="V24" s="14">
        <v>0.29520000000000002</v>
      </c>
      <c r="W24" s="15">
        <v>7.82</v>
      </c>
      <c r="X24" s="15">
        <v>52.966071428571404</v>
      </c>
      <c r="Y24" s="17">
        <f>[1]组成与元素参数!W24</f>
        <v>0.41955002350402065</v>
      </c>
      <c r="Z24" s="17">
        <f>[1]组成与元素参数!W24</f>
        <v>0.41955002350402065</v>
      </c>
      <c r="AA24" s="17">
        <v>6.25</v>
      </c>
      <c r="AB24" s="17">
        <v>0.78900393749999997</v>
      </c>
      <c r="AC24" s="17">
        <v>6.25</v>
      </c>
      <c r="AD24" s="19">
        <v>5.2714400000000001</v>
      </c>
    </row>
    <row r="25" spans="1:30" ht="16">
      <c r="A25" s="2" t="s">
        <v>142</v>
      </c>
      <c r="B25" s="9" t="s">
        <v>136</v>
      </c>
      <c r="C25" s="3">
        <v>-1.351</v>
      </c>
      <c r="D25" s="12">
        <v>0.83012437500000003</v>
      </c>
      <c r="E25" s="10">
        <v>4</v>
      </c>
      <c r="F25" s="10">
        <v>1.0309987246101158</v>
      </c>
      <c r="G25" s="10">
        <v>57.891055742847229</v>
      </c>
      <c r="H25" s="10">
        <v>2.0150000000000001</v>
      </c>
      <c r="I25" s="3">
        <v>2.2200000000000002</v>
      </c>
      <c r="J25" s="3">
        <v>0.26300000000000001</v>
      </c>
      <c r="K25" s="10">
        <v>0.2</v>
      </c>
      <c r="L25" s="10">
        <v>1.8059359658885277</v>
      </c>
      <c r="M25" s="10">
        <v>11.578211148569446</v>
      </c>
      <c r="N25" s="10">
        <v>2.0001375257436242</v>
      </c>
      <c r="O25" s="10">
        <v>1.6116964716289095E-2</v>
      </c>
      <c r="P25" s="10">
        <v>3.2233929432578634E-2</v>
      </c>
      <c r="Q25" s="10">
        <v>0</v>
      </c>
      <c r="R25" s="10">
        <v>2.9950000000000001</v>
      </c>
      <c r="S25" s="10">
        <v>0.71</v>
      </c>
      <c r="T25" s="10">
        <v>6.2</v>
      </c>
      <c r="U25" s="10">
        <v>12.592000000000001</v>
      </c>
      <c r="V25" s="14">
        <v>0.2893</v>
      </c>
      <c r="W25" s="15">
        <v>7.09</v>
      </c>
      <c r="X25" s="15">
        <v>52.876984126984098</v>
      </c>
      <c r="Y25" s="17">
        <f>[1]组成与元素参数!W25</f>
        <v>0.4449999999999974</v>
      </c>
      <c r="Z25" s="17">
        <f>[1]组成与元素参数!W25</f>
        <v>0.4449999999999974</v>
      </c>
      <c r="AA25" s="17">
        <v>6.25</v>
      </c>
      <c r="AB25" s="17">
        <v>0.83012437500000003</v>
      </c>
      <c r="AC25" s="17">
        <v>6.25</v>
      </c>
      <c r="AD25" s="19">
        <v>3.8759199999999998</v>
      </c>
    </row>
  </sheetData>
  <phoneticPr fontId="5" type="noConversion"/>
  <hyperlinks>
    <hyperlink ref="B3" r:id="rId1" xr:uid="{3258729F-3334-4773-ABA8-C77B7F606D84}"/>
    <hyperlink ref="B4" r:id="rId2" xr:uid="{04D1C015-69DE-465A-B2BD-9D3A8875739E}"/>
    <hyperlink ref="B5" r:id="rId3" xr:uid="{9CE79871-2B7A-468F-9A3D-07CEF8894948}"/>
    <hyperlink ref="B6" r:id="rId4" xr:uid="{55349C4E-D39E-49E3-9BD8-35B90FB5EF92}"/>
    <hyperlink ref="B14" r:id="rId5" xr:uid="{4C3025F5-B85D-45F2-85AF-0F7E8E8E301E}"/>
    <hyperlink ref="B15" r:id="rId6" xr:uid="{39746485-5840-45A3-8E2D-488D019052FB}"/>
    <hyperlink ref="B18" r:id="rId7" xr:uid="{5E6C8312-DBAB-48A3-A738-9EFBD9DFB312}"/>
    <hyperlink ref="B19" r:id="rId8" xr:uid="{9FAC36C8-2E46-410B-AA80-FBE9EC68917C}"/>
    <hyperlink ref="B20" r:id="rId9" xr:uid="{6618DEF9-8CA9-41BB-8229-D48BD237455C}"/>
    <hyperlink ref="B2" r:id="rId10" xr:uid="{093D2CB0-42A9-421A-8724-22E73913E947}"/>
    <hyperlink ref="B23" r:id="rId11" xr:uid="{48BC93F5-65D3-4173-B5AF-DE30A53CFB5A}"/>
    <hyperlink ref="B7" r:id="rId12" xr:uid="{5493DA86-FA2E-41FD-BB8D-832B7561C026}"/>
    <hyperlink ref="B8" r:id="rId13" xr:uid="{591BEEE5-C7EF-47C9-A317-30B85A7F4549}"/>
    <hyperlink ref="B9" r:id="rId14" xr:uid="{7F0E3778-52C6-469F-A3FB-3404A340C8C2}"/>
    <hyperlink ref="B10" r:id="rId15" xr:uid="{769CA4FC-BDD7-41A2-9B53-C379BB8A38CD}"/>
    <hyperlink ref="B11" r:id="rId16" xr:uid="{F43A9A98-FA97-4D82-9BB3-76ABCD109E50}"/>
    <hyperlink ref="B12" r:id="rId17" xr:uid="{F324E10E-C6EE-4048-9A64-232CB93D4361}"/>
    <hyperlink ref="B13" r:id="rId18" xr:uid="{A95B0342-901B-40C6-B9AD-6CF8C71DA10B}"/>
    <hyperlink ref="B16" r:id="rId19" xr:uid="{914C10DB-1E80-4FDD-9345-797F5DD57D86}"/>
    <hyperlink ref="B17" r:id="rId20" xr:uid="{442C9CCF-D8DE-4D5D-9422-FEBC8D44E28C}"/>
    <hyperlink ref="B21" r:id="rId21" xr:uid="{7DAEB5F0-B444-4591-9B66-DE53064ABB80}"/>
    <hyperlink ref="B22" r:id="rId22" xr:uid="{368AF2BC-0BBD-471F-A406-CEF269C730B2}"/>
    <hyperlink ref="B24" r:id="rId23" xr:uid="{904B89CA-E76E-49FD-A602-3901F3CE03FE}"/>
    <hyperlink ref="B25" r:id="rId24" xr:uid="{3657D1AD-6C72-455C-9C07-CB57BB53CC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zoomScale="227" zoomScaleNormal="227" workbookViewId="0">
      <selection activeCell="D10" sqref="D10"/>
    </sheetView>
  </sheetViews>
  <sheetFormatPr baseColWidth="10" defaultColWidth="8.83203125" defaultRowHeight="14"/>
  <cols>
    <col min="1" max="1" width="34" customWidth="1"/>
    <col min="2" max="2" width="12" customWidth="1"/>
    <col min="3" max="3" width="30" customWidth="1"/>
    <col min="4" max="4" width="54" customWidth="1"/>
  </cols>
  <sheetData>
    <row r="1" spans="1:4" ht="16">
      <c r="A1" s="4" t="s">
        <v>37</v>
      </c>
      <c r="B1" s="4" t="s">
        <v>38</v>
      </c>
      <c r="C1" s="4" t="s">
        <v>39</v>
      </c>
      <c r="D1" s="4" t="s">
        <v>40</v>
      </c>
    </row>
    <row r="2" spans="1:4" ht="16">
      <c r="A2" s="5" t="s">
        <v>153</v>
      </c>
      <c r="B2" s="6" t="s">
        <v>41</v>
      </c>
      <c r="C2" s="5" t="s">
        <v>42</v>
      </c>
      <c r="D2" s="5" t="s">
        <v>43</v>
      </c>
    </row>
    <row r="3" spans="1:4" ht="16">
      <c r="A3" s="5" t="s">
        <v>44</v>
      </c>
      <c r="B3" s="6" t="s">
        <v>45</v>
      </c>
      <c r="C3" s="5" t="s">
        <v>46</v>
      </c>
      <c r="D3" s="5" t="s">
        <v>47</v>
      </c>
    </row>
    <row r="4" spans="1:4" ht="16">
      <c r="A4" s="5" t="s">
        <v>48</v>
      </c>
      <c r="B4" s="6" t="s">
        <v>49</v>
      </c>
      <c r="C4" s="5" t="s">
        <v>50</v>
      </c>
      <c r="D4" s="5" t="s">
        <v>51</v>
      </c>
    </row>
    <row r="5" spans="1:4" ht="16">
      <c r="A5" s="5" t="s">
        <v>52</v>
      </c>
      <c r="B5" s="6" t="s">
        <v>53</v>
      </c>
      <c r="C5" s="5" t="s">
        <v>54</v>
      </c>
      <c r="D5" s="5" t="s">
        <v>55</v>
      </c>
    </row>
    <row r="6" spans="1:4" ht="16">
      <c r="A6" s="5" t="s">
        <v>56</v>
      </c>
      <c r="B6" s="6" t="s">
        <v>57</v>
      </c>
      <c r="C6" s="5" t="s">
        <v>58</v>
      </c>
      <c r="D6" s="5" t="s">
        <v>59</v>
      </c>
    </row>
    <row r="7" spans="1:4" ht="16">
      <c r="A7" s="5" t="s">
        <v>60</v>
      </c>
      <c r="B7" s="6" t="s">
        <v>61</v>
      </c>
      <c r="C7" s="5" t="s">
        <v>62</v>
      </c>
      <c r="D7" s="5" t="s">
        <v>63</v>
      </c>
    </row>
    <row r="8" spans="1:4" ht="16">
      <c r="A8" s="5" t="s">
        <v>64</v>
      </c>
      <c r="B8" s="6" t="s">
        <v>65</v>
      </c>
      <c r="C8" s="5" t="s">
        <v>42</v>
      </c>
      <c r="D8" s="5" t="s">
        <v>66</v>
      </c>
    </row>
    <row r="9" spans="1:4" ht="15">
      <c r="A9" s="5" t="s">
        <v>67</v>
      </c>
      <c r="B9" s="7" t="s">
        <v>68</v>
      </c>
      <c r="C9" s="5" t="s">
        <v>69</v>
      </c>
      <c r="D9" s="5" t="s">
        <v>70</v>
      </c>
    </row>
    <row r="10" spans="1:4" ht="15">
      <c r="A10" s="5" t="s">
        <v>71</v>
      </c>
      <c r="B10" s="7" t="s">
        <v>72</v>
      </c>
      <c r="C10" s="5" t="s">
        <v>73</v>
      </c>
      <c r="D10" s="5" t="s">
        <v>74</v>
      </c>
    </row>
    <row r="11" spans="1:4" ht="15">
      <c r="A11" s="5" t="s">
        <v>75</v>
      </c>
      <c r="B11" s="7" t="s">
        <v>76</v>
      </c>
      <c r="C11" s="5" t="s">
        <v>77</v>
      </c>
      <c r="D11" s="5" t="s">
        <v>78</v>
      </c>
    </row>
    <row r="12" spans="1:4" ht="15">
      <c r="A12" s="5" t="s">
        <v>79</v>
      </c>
      <c r="B12" s="7" t="s">
        <v>80</v>
      </c>
      <c r="C12" s="5" t="s">
        <v>58</v>
      </c>
      <c r="D12" s="5" t="s">
        <v>81</v>
      </c>
    </row>
    <row r="13" spans="1:4" ht="15">
      <c r="A13" s="5" t="s">
        <v>82</v>
      </c>
      <c r="B13" s="7" t="s">
        <v>83</v>
      </c>
      <c r="C13" s="5" t="s">
        <v>50</v>
      </c>
      <c r="D13" s="5" t="s">
        <v>84</v>
      </c>
    </row>
    <row r="14" spans="1:4" ht="15">
      <c r="A14" s="5" t="s">
        <v>85</v>
      </c>
      <c r="B14" s="7" t="s">
        <v>86</v>
      </c>
      <c r="C14" s="5" t="s">
        <v>50</v>
      </c>
      <c r="D14" s="5" t="s">
        <v>87</v>
      </c>
    </row>
    <row r="15" spans="1:4" ht="15">
      <c r="A15" s="5" t="s">
        <v>88</v>
      </c>
      <c r="B15" s="7" t="s">
        <v>89</v>
      </c>
      <c r="C15" s="5" t="s">
        <v>50</v>
      </c>
      <c r="D15" s="5" t="s">
        <v>90</v>
      </c>
    </row>
    <row r="16" spans="1:4" ht="15">
      <c r="A16" s="5" t="s">
        <v>91</v>
      </c>
      <c r="B16" s="7" t="s">
        <v>92</v>
      </c>
      <c r="C16" s="5" t="s">
        <v>50</v>
      </c>
      <c r="D16" s="5" t="s">
        <v>93</v>
      </c>
    </row>
    <row r="17" spans="1:4" ht="15">
      <c r="A17" s="5" t="s">
        <v>94</v>
      </c>
      <c r="B17" s="7" t="s">
        <v>95</v>
      </c>
      <c r="C17" s="5" t="s">
        <v>96</v>
      </c>
      <c r="D17" s="5" t="s">
        <v>97</v>
      </c>
    </row>
    <row r="18" spans="1:4" ht="15">
      <c r="A18" s="5" t="s">
        <v>98</v>
      </c>
      <c r="B18" s="7" t="s">
        <v>99</v>
      </c>
      <c r="C18" s="5" t="s">
        <v>100</v>
      </c>
      <c r="D18" s="5" t="s">
        <v>97</v>
      </c>
    </row>
    <row r="19" spans="1:4" ht="15">
      <c r="A19" s="5" t="s">
        <v>101</v>
      </c>
      <c r="B19" s="7" t="s">
        <v>102</v>
      </c>
      <c r="C19" s="5" t="s">
        <v>103</v>
      </c>
      <c r="D19" s="5" t="s">
        <v>104</v>
      </c>
    </row>
    <row r="20" spans="1:4" ht="15">
      <c r="A20" s="5" t="s">
        <v>105</v>
      </c>
      <c r="B20" s="7" t="s">
        <v>106</v>
      </c>
      <c r="C20" s="5" t="s">
        <v>107</v>
      </c>
      <c r="D20" s="5" t="s">
        <v>104</v>
      </c>
    </row>
    <row r="21" spans="1:4" ht="16">
      <c r="A21" s="5" t="s">
        <v>108</v>
      </c>
      <c r="B21" s="8" t="s">
        <v>109</v>
      </c>
      <c r="C21" s="5" t="s">
        <v>110</v>
      </c>
      <c r="D21" s="5" t="s">
        <v>111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24种材料特征矩阵</vt:lpstr>
      <vt:lpstr>描述符说明与来源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WJX</dc:creator>
  <cp:lastModifiedBy>Ymhu</cp:lastModifiedBy>
  <dcterms:created xsi:type="dcterms:W3CDTF">2026-09-17T08:39:59Z</dcterms:created>
  <dcterms:modified xsi:type="dcterms:W3CDTF">2026-10-12T10:49:11Z</dcterms:modified>
</cp:coreProperties>
</file>